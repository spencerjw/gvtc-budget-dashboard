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gvtcnet-my.sharepoint.com/personal/spencer_winegarden_gvtc_net/Documents/Documents/Web Management Department/Yearly Budget Docs/"/>
    </mc:Choice>
  </mc:AlternateContent>
  <xr:revisionPtr revIDLastSave="756" documentId="8_{207D3B8F-45FB-4F3D-94C2-59F1361EBE19}" xr6:coauthVersionLast="47" xr6:coauthVersionMax="47" xr10:uidLastSave="{471E5EF4-E9FB-4558-845B-94B2A35101EF}"/>
  <bookViews>
    <workbookView xWindow="-28920" yWindow="8190" windowWidth="29040" windowHeight="15720" xr2:uid="{548DFCE5-86C5-449D-8A48-CB0D246DD94F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AB37" i="1"/>
  <c r="D26" i="1"/>
  <c r="F26" i="1"/>
  <c r="H26" i="1"/>
  <c r="J26" i="1"/>
  <c r="L26" i="1"/>
  <c r="N26" i="1"/>
  <c r="D22" i="1"/>
  <c r="F22" i="1"/>
  <c r="H22" i="1"/>
  <c r="J22" i="1"/>
  <c r="L22" i="1"/>
  <c r="N22" i="1"/>
  <c r="D16" i="1"/>
  <c r="F16" i="1"/>
  <c r="H16" i="1"/>
  <c r="J16" i="1"/>
  <c r="L16" i="1"/>
  <c r="N16" i="1"/>
  <c r="AB20" i="1"/>
  <c r="AA20" i="1"/>
  <c r="AC20" i="1" s="1"/>
  <c r="AB19" i="1"/>
  <c r="AB18" i="1"/>
  <c r="AB21" i="1"/>
  <c r="AA18" i="1"/>
  <c r="AA19" i="1"/>
  <c r="AA7" i="1"/>
  <c r="AB7" i="1"/>
  <c r="AB12" i="1"/>
  <c r="AA12" i="1"/>
  <c r="AB8" i="1"/>
  <c r="AA8" i="1"/>
  <c r="AB24" i="1"/>
  <c r="AA24" i="1"/>
  <c r="AB28" i="1"/>
  <c r="AA28" i="1"/>
  <c r="AB36" i="1"/>
  <c r="AA36" i="1"/>
  <c r="AB45" i="1"/>
  <c r="AB44" i="1"/>
  <c r="AB42" i="1"/>
  <c r="AB40" i="1"/>
  <c r="AB38" i="1"/>
  <c r="AB35" i="1"/>
  <c r="AB33" i="1"/>
  <c r="AB31" i="1"/>
  <c r="AB29" i="1"/>
  <c r="AB27" i="1"/>
  <c r="AB25" i="1"/>
  <c r="AB23" i="1"/>
  <c r="AB17" i="1"/>
  <c r="AB15" i="1"/>
  <c r="AB13" i="1"/>
  <c r="AB11" i="1"/>
  <c r="AB10" i="1"/>
  <c r="AB9" i="1"/>
  <c r="AB6" i="1"/>
  <c r="AB5" i="1"/>
  <c r="AB4" i="1"/>
  <c r="AA45" i="1"/>
  <c r="AA44" i="1"/>
  <c r="AA42" i="1"/>
  <c r="AA40" i="1"/>
  <c r="AA38" i="1"/>
  <c r="AA35" i="1"/>
  <c r="AA33" i="1"/>
  <c r="AA31" i="1"/>
  <c r="AA29" i="1"/>
  <c r="AD29" i="1" s="1"/>
  <c r="AA27" i="1"/>
  <c r="AA25" i="1"/>
  <c r="AA23" i="1"/>
  <c r="AA21" i="1"/>
  <c r="AA17" i="1"/>
  <c r="AA10" i="1"/>
  <c r="AA6" i="1"/>
  <c r="AA5" i="1"/>
  <c r="AA4" i="1"/>
  <c r="AA15" i="1"/>
  <c r="AA13" i="1"/>
  <c r="AA11" i="1"/>
  <c r="AA9" i="1"/>
  <c r="P3" i="1"/>
  <c r="AB32" i="1"/>
  <c r="E43" i="1"/>
  <c r="G43" i="1"/>
  <c r="I43" i="1"/>
  <c r="K43" i="1"/>
  <c r="M43" i="1"/>
  <c r="O43" i="1"/>
  <c r="P43" i="1"/>
  <c r="Q43" i="1"/>
  <c r="R43" i="1"/>
  <c r="S43" i="1"/>
  <c r="T43" i="1"/>
  <c r="U43" i="1"/>
  <c r="V43" i="1"/>
  <c r="W43" i="1"/>
  <c r="X43" i="1"/>
  <c r="Y43" i="1"/>
  <c r="Z43" i="1"/>
  <c r="E41" i="1"/>
  <c r="G41" i="1"/>
  <c r="I41" i="1"/>
  <c r="K41" i="1"/>
  <c r="M41" i="1"/>
  <c r="O41" i="1"/>
  <c r="P41" i="1"/>
  <c r="Q41" i="1"/>
  <c r="R41" i="1"/>
  <c r="S41" i="1"/>
  <c r="T41" i="1"/>
  <c r="U41" i="1"/>
  <c r="V41" i="1"/>
  <c r="W41" i="1"/>
  <c r="X41" i="1"/>
  <c r="Y41" i="1"/>
  <c r="Z41" i="1"/>
  <c r="D39" i="1"/>
  <c r="E39" i="1"/>
  <c r="G39" i="1"/>
  <c r="H39" i="1"/>
  <c r="I39" i="1"/>
  <c r="J39" i="1"/>
  <c r="K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D34" i="1"/>
  <c r="E34" i="1"/>
  <c r="G34" i="1"/>
  <c r="I34" i="1"/>
  <c r="K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D30" i="1"/>
  <c r="E30" i="1"/>
  <c r="G30" i="1"/>
  <c r="I30" i="1"/>
  <c r="K30" i="1"/>
  <c r="M30" i="1"/>
  <c r="O30" i="1"/>
  <c r="P30" i="1"/>
  <c r="Q30" i="1"/>
  <c r="R30" i="1"/>
  <c r="S30" i="1"/>
  <c r="T30" i="1"/>
  <c r="U30" i="1"/>
  <c r="V30" i="1"/>
  <c r="W30" i="1"/>
  <c r="X30" i="1"/>
  <c r="Y30" i="1"/>
  <c r="Z30" i="1"/>
  <c r="E26" i="1"/>
  <c r="G26" i="1"/>
  <c r="I26" i="1"/>
  <c r="K26" i="1"/>
  <c r="M26" i="1"/>
  <c r="O26" i="1"/>
  <c r="P26" i="1"/>
  <c r="Q26" i="1"/>
  <c r="R26" i="1"/>
  <c r="S26" i="1"/>
  <c r="T26" i="1"/>
  <c r="U26" i="1"/>
  <c r="V26" i="1"/>
  <c r="W26" i="1"/>
  <c r="X26" i="1"/>
  <c r="Y26" i="1"/>
  <c r="Z26" i="1"/>
  <c r="E22" i="1"/>
  <c r="G22" i="1"/>
  <c r="I22" i="1"/>
  <c r="K22" i="1"/>
  <c r="M22" i="1"/>
  <c r="O22" i="1"/>
  <c r="P22" i="1"/>
  <c r="Q22" i="1"/>
  <c r="R22" i="1"/>
  <c r="S22" i="1"/>
  <c r="T22" i="1"/>
  <c r="U22" i="1"/>
  <c r="V22" i="1"/>
  <c r="W22" i="1"/>
  <c r="X22" i="1"/>
  <c r="Y22" i="1"/>
  <c r="Z22" i="1"/>
  <c r="E16" i="1"/>
  <c r="G16" i="1"/>
  <c r="I16" i="1"/>
  <c r="K16" i="1"/>
  <c r="M16" i="1"/>
  <c r="O16" i="1"/>
  <c r="P16" i="1"/>
  <c r="Q16" i="1"/>
  <c r="R16" i="1"/>
  <c r="S16" i="1"/>
  <c r="T16" i="1"/>
  <c r="U16" i="1"/>
  <c r="V16" i="1"/>
  <c r="W16" i="1"/>
  <c r="X16" i="1"/>
  <c r="Y16" i="1"/>
  <c r="Z16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E3" i="1"/>
  <c r="G3" i="1"/>
  <c r="I3" i="1"/>
  <c r="K3" i="1"/>
  <c r="M3" i="1"/>
  <c r="O3" i="1"/>
  <c r="Q3" i="1"/>
  <c r="R3" i="1"/>
  <c r="S3" i="1"/>
  <c r="T3" i="1"/>
  <c r="U3" i="1"/>
  <c r="V3" i="1"/>
  <c r="W3" i="1"/>
  <c r="X3" i="1"/>
  <c r="Y3" i="1"/>
  <c r="Z3" i="1"/>
  <c r="C43" i="1"/>
  <c r="C41" i="1"/>
  <c r="C39" i="1"/>
  <c r="C34" i="1"/>
  <c r="E32" i="1"/>
  <c r="G32" i="1"/>
  <c r="I32" i="1"/>
  <c r="K32" i="1"/>
  <c r="M32" i="1"/>
  <c r="O32" i="1"/>
  <c r="Q32" i="1"/>
  <c r="S32" i="1"/>
  <c r="U32" i="1"/>
  <c r="W32" i="1"/>
  <c r="Y32" i="1"/>
  <c r="C32" i="1"/>
  <c r="C30" i="1"/>
  <c r="C26" i="1"/>
  <c r="C22" i="1"/>
  <c r="C16" i="1"/>
  <c r="C14" i="1"/>
  <c r="C3" i="1"/>
  <c r="AC37" i="1" l="1"/>
  <c r="AC19" i="1"/>
  <c r="AC18" i="1"/>
  <c r="AC7" i="1"/>
  <c r="AC12" i="1"/>
  <c r="AC8" i="1"/>
  <c r="AC28" i="1"/>
  <c r="AC36" i="1"/>
  <c r="AC6" i="1"/>
  <c r="AC11" i="1"/>
  <c r="AC45" i="1"/>
  <c r="AC24" i="1"/>
  <c r="AC23" i="1"/>
  <c r="AC40" i="1"/>
  <c r="AC17" i="1"/>
  <c r="AC35" i="1"/>
  <c r="AC4" i="1"/>
  <c r="AA14" i="1"/>
  <c r="AC33" i="1"/>
  <c r="AC21" i="1"/>
  <c r="AC15" i="1"/>
  <c r="AC31" i="1"/>
  <c r="AC10" i="1"/>
  <c r="AA16" i="1"/>
  <c r="AA34" i="1"/>
  <c r="K46" i="1"/>
  <c r="AB14" i="1"/>
  <c r="AC14" i="1" s="1"/>
  <c r="AD14" i="1" s="1"/>
  <c r="AB16" i="1"/>
  <c r="AB26" i="1"/>
  <c r="AC9" i="1"/>
  <c r="AC38" i="1"/>
  <c r="AC13" i="1"/>
  <c r="AC27" i="1"/>
  <c r="AC44" i="1"/>
  <c r="AC25" i="1"/>
  <c r="AC42" i="1"/>
  <c r="AC29" i="1"/>
  <c r="AC5" i="1"/>
  <c r="AA22" i="1"/>
  <c r="AA26" i="1"/>
  <c r="AB30" i="1"/>
  <c r="AB3" i="1"/>
  <c r="AB22" i="1"/>
  <c r="AA41" i="1"/>
  <c r="AB43" i="1"/>
  <c r="AB39" i="1"/>
  <c r="AA43" i="1"/>
  <c r="AA32" i="1"/>
  <c r="AC32" i="1" s="1"/>
  <c r="AB34" i="1"/>
  <c r="AA39" i="1"/>
  <c r="AB41" i="1"/>
  <c r="AA3" i="1"/>
  <c r="S46" i="1"/>
  <c r="AA30" i="1"/>
  <c r="X46" i="1"/>
  <c r="H46" i="1"/>
  <c r="Y46" i="1"/>
  <c r="Q46" i="1"/>
  <c r="P46" i="1"/>
  <c r="T46" i="1"/>
  <c r="V46" i="1"/>
  <c r="N46" i="1"/>
  <c r="F46" i="1"/>
  <c r="R46" i="1"/>
  <c r="L46" i="1"/>
  <c r="D46" i="1"/>
  <c r="Z46" i="1"/>
  <c r="J46" i="1"/>
  <c r="U46" i="1"/>
  <c r="M46" i="1"/>
  <c r="W46" i="1"/>
  <c r="O46" i="1"/>
  <c r="I46" i="1"/>
  <c r="C46" i="1"/>
  <c r="G46" i="1"/>
  <c r="E46" i="1"/>
  <c r="AC34" i="1" l="1"/>
  <c r="AD34" i="1" s="1"/>
  <c r="AC16" i="1"/>
  <c r="AD16" i="1" s="1"/>
  <c r="AC22" i="1"/>
  <c r="AD22" i="1" s="1"/>
  <c r="AC41" i="1"/>
  <c r="AD41" i="1" s="1"/>
  <c r="AC3" i="1"/>
  <c r="AD3" i="1" s="1"/>
  <c r="AC26" i="1"/>
  <c r="AD26" i="1" s="1"/>
  <c r="AC43" i="1"/>
  <c r="AD43" i="1" s="1"/>
  <c r="AD32" i="1"/>
  <c r="AC30" i="1"/>
  <c r="AD30" i="1" s="1"/>
  <c r="AC39" i="1"/>
  <c r="AD39" i="1" s="1"/>
  <c r="AA46" i="1"/>
  <c r="AB46" i="1"/>
  <c r="AC46" i="1" l="1"/>
  <c r="AD46" i="1" s="1"/>
</calcChain>
</file>

<file path=xl/sharedStrings.xml><?xml version="1.0" encoding="utf-8"?>
<sst xmlns="http://schemas.openxmlformats.org/spreadsheetml/2006/main" count="72" uniqueCount="43">
  <si>
    <t>Account</t>
  </si>
  <si>
    <t>YEARLY</t>
  </si>
  <si>
    <t>Budget</t>
  </si>
  <si>
    <t>Actual</t>
  </si>
  <si>
    <t>REMAINING</t>
  </si>
  <si>
    <t>GP Comp - Software Lic Fees, Mods, &amp; Support</t>
  </si>
  <si>
    <t>Adobe CC - Yearly</t>
  </si>
  <si>
    <t>Trello - Yearly</t>
  </si>
  <si>
    <t>Grammarly - Yearly</t>
  </si>
  <si>
    <t>PLAUD AI - Yearly</t>
  </si>
  <si>
    <t>Apple Developer Account</t>
  </si>
  <si>
    <t>ZAG Web Hosting - Quarterly</t>
  </si>
  <si>
    <t>GoFullPage screen capture - Yearly</t>
  </si>
  <si>
    <t>Kinetico website license ($55,430 - 5 year)</t>
  </si>
  <si>
    <t>AI-Driven Tools &amp; Services (ChatGPT, XAI, Etc.)</t>
  </si>
  <si>
    <t>Misc.</t>
  </si>
  <si>
    <t>GP Comp - Office Supplies &amp; Forms</t>
  </si>
  <si>
    <t>General computer and office supplies</t>
  </si>
  <si>
    <t>CC - Travel - Transportation and Lodging</t>
  </si>
  <si>
    <t>BMMA Spring Conference</t>
  </si>
  <si>
    <t>Digital Summit</t>
  </si>
  <si>
    <t>NISC MIC Conference</t>
  </si>
  <si>
    <t>Calix ConneXions</t>
  </si>
  <si>
    <t>CC - Travel - Meals &amp; Entertainment</t>
  </si>
  <si>
    <t>BMMA Conference</t>
  </si>
  <si>
    <t>CC - Personal Auto Reimbursement/Mielage</t>
  </si>
  <si>
    <t>BMMA Miles and Parking</t>
  </si>
  <si>
    <t>NISC MIC Miles and Parking</t>
  </si>
  <si>
    <t>CC - Biz Meals &amp; Entertainment (Not Travel)</t>
  </si>
  <si>
    <t>Co-Worker/Team Meals</t>
  </si>
  <si>
    <t>CC - EE Apprec, Recognition, &amp; Meetings</t>
  </si>
  <si>
    <t>Foundation Golf Tournament</t>
  </si>
  <si>
    <t>CC - Seminars, Training, &amp; Tuition</t>
  </si>
  <si>
    <t>BMMA Conference fee</t>
  </si>
  <si>
    <t>NISC MIC Conference fee</t>
  </si>
  <si>
    <t>CC - Office Supplies &amp; Forms</t>
  </si>
  <si>
    <t>General Office Supplies</t>
  </si>
  <si>
    <t>CC - Cellular Phone</t>
  </si>
  <si>
    <t>Cell phone reimbursement</t>
  </si>
  <si>
    <t>CC - Contract Labor &amp; Services</t>
  </si>
  <si>
    <t>ZAG Monthly Service Agreement</t>
  </si>
  <si>
    <t>Annual CMS Patches, Enviro. Maint. &amp; Refreshes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</si>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</sst>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;@"/>
    <numFmt numFmtId="165" formatCode="_(* #,##0_);_(* \(#,##0\);_(* &quot;-&quot;??_);_(@_)"/>
    <numFmt numFmtId="166" formatCode="[$-409]mmmm\-yy;@"/>
    <numFmt numFmtId="167" formatCode="_(* #,##0.0_);_(* \(#,##0.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5" fontId="0" fillId="3" borderId="0" xfId="1" applyNumberFormat="1" applyFont="1" applyFill="1"/>
    <xf numFmtId="165" fontId="0" fillId="3" borderId="1" xfId="1" applyNumberFormat="1" applyFont="1" applyFill="1" applyBorder="1"/>
    <xf numFmtId="164" fontId="5" fillId="2" borderId="5" xfId="0" applyNumberFormat="1" applyFont="1" applyFill="1" applyBorder="1" applyAlignment="1">
      <alignment horizontal="center"/>
    </xf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4" fontId="5" fillId="2" borderId="7" xfId="0" applyNumberFormat="1" applyFont="1" applyFill="1" applyBorder="1" applyAlignment="1">
      <alignment horizontal="center"/>
    </xf>
    <xf numFmtId="165" fontId="0" fillId="3" borderId="9" xfId="1" applyNumberFormat="1" applyFont="1" applyFill="1" applyBorder="1"/>
    <xf numFmtId="165" fontId="0" fillId="2" borderId="10" xfId="1" applyNumberFormat="1" applyFont="1" applyFill="1" applyBorder="1"/>
    <xf numFmtId="165" fontId="2" fillId="4" borderId="6" xfId="1" applyNumberFormat="1" applyFont="1" applyFill="1" applyBorder="1"/>
    <xf numFmtId="165" fontId="2" fillId="4" borderId="2" xfId="1" applyNumberFormat="1" applyFont="1" applyFill="1" applyBorder="1"/>
    <xf numFmtId="165" fontId="0" fillId="4" borderId="2" xfId="1" applyNumberFormat="1" applyFont="1" applyFill="1" applyBorder="1"/>
    <xf numFmtId="165" fontId="0" fillId="3" borderId="11" xfId="1" applyNumberFormat="1" applyFont="1" applyFill="1" applyBorder="1"/>
    <xf numFmtId="167" fontId="2" fillId="4" borderId="2" xfId="1" applyNumberFormat="1" applyFont="1" applyFill="1" applyBorder="1"/>
    <xf numFmtId="165" fontId="2" fillId="2" borderId="6" xfId="0" applyNumberFormat="1" applyFont="1" applyFill="1" applyBorder="1"/>
    <xf numFmtId="165" fontId="2" fillId="3" borderId="2" xfId="0" applyNumberFormat="1" applyFont="1" applyFill="1" applyBorder="1"/>
    <xf numFmtId="165" fontId="2" fillId="2" borderId="4" xfId="0" applyNumberFormat="1" applyFont="1" applyFill="1" applyBorder="1"/>
    <xf numFmtId="165" fontId="2" fillId="3" borderId="3" xfId="0" applyNumberFormat="1" applyFont="1" applyFill="1" applyBorder="1"/>
    <xf numFmtId="0" fontId="8" fillId="4" borderId="2" xfId="0" applyFont="1" applyFill="1" applyBorder="1"/>
    <xf numFmtId="0" fontId="8" fillId="4" borderId="2" xfId="0" applyFont="1" applyFill="1" applyBorder="1" applyAlignment="1">
      <alignment horizontal="center"/>
    </xf>
    <xf numFmtId="37" fontId="2" fillId="2" borderId="4" xfId="2" applyNumberFormat="1" applyFont="1" applyFill="1" applyBorder="1"/>
    <xf numFmtId="37" fontId="2" fillId="3" borderId="3" xfId="2" applyNumberFormat="1" applyFont="1" applyFill="1" applyBorder="1"/>
    <xf numFmtId="165" fontId="2" fillId="5" borderId="18" xfId="0" applyNumberFormat="1" applyFont="1" applyFill="1" applyBorder="1"/>
    <xf numFmtId="165" fontId="0" fillId="5" borderId="19" xfId="1" applyNumberFormat="1" applyFont="1" applyFill="1" applyBorder="1"/>
    <xf numFmtId="165" fontId="2" fillId="5" borderId="14" xfId="0" applyNumberFormat="1" applyFont="1" applyFill="1" applyBorder="1"/>
    <xf numFmtId="0" fontId="6" fillId="0" borderId="0" xfId="0" applyFont="1" applyAlignment="1">
      <alignment horizontal="center"/>
    </xf>
    <xf numFmtId="9" fontId="6" fillId="0" borderId="12" xfId="3" applyFont="1" applyBorder="1" applyAlignment="1">
      <alignment horizontal="center"/>
    </xf>
    <xf numFmtId="9" fontId="7" fillId="0" borderId="12" xfId="3" applyFont="1" applyBorder="1" applyAlignment="1">
      <alignment horizontal="center"/>
    </xf>
    <xf numFmtId="165" fontId="2" fillId="5" borderId="20" xfId="0" applyNumberFormat="1" applyFont="1" applyFill="1" applyBorder="1"/>
    <xf numFmtId="9" fontId="6" fillId="0" borderId="20" xfId="3" applyFont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9" fontId="6" fillId="0" borderId="22" xfId="3" applyFont="1" applyBorder="1" applyAlignment="1">
      <alignment horizontal="center"/>
    </xf>
    <xf numFmtId="9" fontId="7" fillId="0" borderId="21" xfId="3" applyFont="1" applyBorder="1" applyAlignment="1">
      <alignment horizontal="center"/>
    </xf>
    <xf numFmtId="9" fontId="6" fillId="0" borderId="21" xfId="3" applyFont="1" applyBorder="1" applyAlignment="1">
      <alignment horizontal="center"/>
    </xf>
    <xf numFmtId="9" fontId="7" fillId="0" borderId="19" xfId="3" applyFont="1" applyBorder="1" applyAlignment="1">
      <alignment horizontal="center"/>
    </xf>
    <xf numFmtId="165" fontId="0" fillId="5" borderId="1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13" xfId="0" applyFont="1" applyBorder="1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13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6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0" borderId="15" xfId="0" applyFont="1" applyBorder="1" applyAlignment="1">
      <alignment horizontal="right" wrapText="1"/>
    </xf>
    <xf numFmtId="0" fontId="3" fillId="0" borderId="23" xfId="0" applyFont="1" applyBorder="1" applyAlignment="1">
      <alignment horizontal="right" wrapText="1"/>
    </xf>
    <xf numFmtId="0" fontId="3" fillId="0" borderId="17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3" xfId="0" applyFont="1" applyBorder="1" applyAlignment="1">
      <alignment horizontal="right" wrapText="1"/>
    </xf>
    <xf numFmtId="0" fontId="9" fillId="0" borderId="0" xfId="0" applyFont="1" applyAlignment="1">
      <alignment horizontal="right"/>
    </xf>
    <xf numFmtId="0" fontId="9" fillId="0" borderId="13" xfId="0" applyFont="1" applyBorder="1" applyAlignment="1">
      <alignment horizontal="right"/>
    </xf>
    <xf numFmtId="164" fontId="5" fillId="5" borderId="8" xfId="0" applyNumberFormat="1" applyFon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/>
    </xf>
    <xf numFmtId="166" fontId="5" fillId="4" borderId="8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6" fontId="5" fillId="4" borderId="1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FB01-8691-4A02-89C1-C1EAD25FB67D}">
  <dimension ref="A1:AD47"/>
  <sheetViews>
    <sheetView tabSelected="1" zoomScale="90" zoomScaleNormal="90" workbookViewId="0">
      <pane ySplit="1" topLeftCell="A2" activePane="bottomLeft" state="frozen"/>
      <selection pane="bottomLeft" activeCell="T14" sqref="T14"/>
    </sheetView>
  </sheetViews>
  <sheetFormatPr defaultRowHeight="15"/>
  <cols>
    <col min="1" max="1" width="8" style="1" bestFit="1" customWidth="1"/>
    <col min="2" max="2" width="37" bestFit="1" customWidth="1"/>
    <col min="3" max="3" width="7.42578125" bestFit="1" customWidth="1"/>
    <col min="4" max="4" width="7" bestFit="1" customWidth="1"/>
    <col min="5" max="5" width="7.42578125" bestFit="1" customWidth="1"/>
    <col min="6" max="6" width="7" bestFit="1" customWidth="1"/>
    <col min="7" max="7" width="7.42578125" bestFit="1" customWidth="1"/>
    <col min="8" max="8" width="7" bestFit="1" customWidth="1"/>
    <col min="9" max="9" width="7.42578125" bestFit="1" customWidth="1"/>
    <col min="10" max="10" width="7" bestFit="1" customWidth="1"/>
    <col min="11" max="11" width="7.42578125" bestFit="1" customWidth="1"/>
    <col min="12" max="12" width="7" bestFit="1" customWidth="1"/>
    <col min="13" max="13" width="7.42578125" bestFit="1" customWidth="1"/>
    <col min="14" max="14" width="7" bestFit="1" customWidth="1"/>
    <col min="15" max="15" width="7.42578125" bestFit="1" customWidth="1"/>
    <col min="16" max="16" width="7" bestFit="1" customWidth="1"/>
    <col min="17" max="17" width="7.42578125" bestFit="1" customWidth="1"/>
    <col min="18" max="18" width="7" bestFit="1" customWidth="1"/>
    <col min="19" max="19" width="7.7109375" bestFit="1" customWidth="1"/>
    <col min="20" max="20" width="7" bestFit="1" customWidth="1"/>
    <col min="21" max="21" width="7.42578125" bestFit="1" customWidth="1"/>
    <col min="22" max="22" width="7" bestFit="1" customWidth="1"/>
    <col min="23" max="23" width="7.42578125" bestFit="1" customWidth="1"/>
    <col min="24" max="24" width="7" bestFit="1" customWidth="1"/>
    <col min="25" max="25" width="7.42578125" bestFit="1" customWidth="1"/>
    <col min="26" max="26" width="7" bestFit="1" customWidth="1"/>
    <col min="27" max="29" width="8.42578125" bestFit="1" customWidth="1"/>
    <col min="30" max="30" width="9.140625" style="28"/>
  </cols>
  <sheetData>
    <row r="1" spans="1:30" ht="16.5" thickBot="1">
      <c r="A1" s="61" t="s">
        <v>0</v>
      </c>
      <c r="B1" s="62"/>
      <c r="C1" s="58">
        <v>45658</v>
      </c>
      <c r="D1" s="59"/>
      <c r="E1" s="58">
        <v>45689</v>
      </c>
      <c r="F1" s="59"/>
      <c r="G1" s="58">
        <v>45717</v>
      </c>
      <c r="H1" s="59"/>
      <c r="I1" s="58">
        <v>45748</v>
      </c>
      <c r="J1" s="59"/>
      <c r="K1" s="58">
        <v>45778</v>
      </c>
      <c r="L1" s="59"/>
      <c r="M1" s="58">
        <v>45809</v>
      </c>
      <c r="N1" s="59"/>
      <c r="O1" s="58">
        <v>45839</v>
      </c>
      <c r="P1" s="59"/>
      <c r="Q1" s="58">
        <v>45870</v>
      </c>
      <c r="R1" s="59"/>
      <c r="S1" s="58">
        <v>45901</v>
      </c>
      <c r="T1" s="59"/>
      <c r="U1" s="58">
        <v>45931</v>
      </c>
      <c r="V1" s="59"/>
      <c r="W1" s="58">
        <v>45962</v>
      </c>
      <c r="X1" s="59"/>
      <c r="Y1" s="58">
        <v>45992</v>
      </c>
      <c r="Z1" s="59"/>
      <c r="AA1" s="58" t="s">
        <v>1</v>
      </c>
      <c r="AB1" s="59"/>
      <c r="AC1" s="59"/>
      <c r="AD1" s="60"/>
    </row>
    <row r="2" spans="1:30" ht="16.5" thickBot="1">
      <c r="A2" s="2"/>
      <c r="B2" s="2"/>
      <c r="C2" s="6" t="s">
        <v>2</v>
      </c>
      <c r="D2" s="3" t="s">
        <v>3</v>
      </c>
      <c r="E2" s="6" t="s">
        <v>2</v>
      </c>
      <c r="F2" s="3" t="s">
        <v>3</v>
      </c>
      <c r="G2" s="9" t="s">
        <v>2</v>
      </c>
      <c r="H2" s="3" t="s">
        <v>3</v>
      </c>
      <c r="I2" s="9" t="s">
        <v>2</v>
      </c>
      <c r="J2" s="3" t="s">
        <v>3</v>
      </c>
      <c r="K2" s="9" t="s">
        <v>2</v>
      </c>
      <c r="L2" s="3" t="s">
        <v>3</v>
      </c>
      <c r="M2" s="9" t="s">
        <v>2</v>
      </c>
      <c r="N2" s="3" t="s">
        <v>3</v>
      </c>
      <c r="O2" s="9" t="s">
        <v>2</v>
      </c>
      <c r="P2" s="3" t="s">
        <v>3</v>
      </c>
      <c r="Q2" s="9" t="s">
        <v>2</v>
      </c>
      <c r="R2" s="3" t="s">
        <v>3</v>
      </c>
      <c r="S2" s="9" t="s">
        <v>2</v>
      </c>
      <c r="T2" s="3" t="s">
        <v>3</v>
      </c>
      <c r="U2" s="9" t="s">
        <v>2</v>
      </c>
      <c r="V2" s="3" t="s">
        <v>3</v>
      </c>
      <c r="W2" s="9" t="s">
        <v>2</v>
      </c>
      <c r="X2" s="3" t="s">
        <v>3</v>
      </c>
      <c r="Y2" s="9" t="s">
        <v>2</v>
      </c>
      <c r="Z2" s="3" t="s">
        <v>3</v>
      </c>
      <c r="AA2" s="33" t="s">
        <v>2</v>
      </c>
      <c r="AB2" s="34" t="s">
        <v>3</v>
      </c>
      <c r="AC2" s="56" t="s">
        <v>4</v>
      </c>
      <c r="AD2" s="57"/>
    </row>
    <row r="3" spans="1:30">
      <c r="A3" s="22">
        <v>6124.32</v>
      </c>
      <c r="B3" s="21" t="s">
        <v>5</v>
      </c>
      <c r="C3" s="12">
        <f>SUM(C4:C13)</f>
        <v>2035</v>
      </c>
      <c r="D3" s="13">
        <v>1052</v>
      </c>
      <c r="E3" s="12">
        <f>SUM(E4:E13)</f>
        <v>3540</v>
      </c>
      <c r="F3" s="13">
        <v>945</v>
      </c>
      <c r="G3" s="12">
        <f>SUM(G4:G13)</f>
        <v>990</v>
      </c>
      <c r="H3" s="13">
        <v>1776</v>
      </c>
      <c r="I3" s="12">
        <f>SUM(I4:I13)</f>
        <v>990</v>
      </c>
      <c r="J3" s="13">
        <v>945</v>
      </c>
      <c r="K3" s="12">
        <f>SUM(K4:K13)</f>
        <v>3540</v>
      </c>
      <c r="L3" s="13">
        <v>975</v>
      </c>
      <c r="M3" s="12">
        <f>SUM(M4:M13)</f>
        <v>990</v>
      </c>
      <c r="N3" s="13">
        <v>1101</v>
      </c>
      <c r="O3" s="12">
        <f t="shared" ref="O3:Z3" si="0">SUM(O4:O13)</f>
        <v>1145</v>
      </c>
      <c r="P3" s="13">
        <f t="shared" si="0"/>
        <v>1926.65</v>
      </c>
      <c r="Q3" s="12">
        <f t="shared" si="0"/>
        <v>3725</v>
      </c>
      <c r="R3" s="13">
        <f t="shared" si="0"/>
        <v>4575</v>
      </c>
      <c r="S3" s="12">
        <f t="shared" si="0"/>
        <v>1037</v>
      </c>
      <c r="T3" s="13">
        <f t="shared" si="0"/>
        <v>1721.28</v>
      </c>
      <c r="U3" s="12">
        <f t="shared" si="0"/>
        <v>1025</v>
      </c>
      <c r="V3" s="13">
        <f t="shared" si="0"/>
        <v>1666</v>
      </c>
      <c r="W3" s="12">
        <f t="shared" si="0"/>
        <v>3575</v>
      </c>
      <c r="X3" s="13">
        <f t="shared" si="0"/>
        <v>4216</v>
      </c>
      <c r="Y3" s="12">
        <f t="shared" si="0"/>
        <v>1025</v>
      </c>
      <c r="Z3" s="13">
        <f t="shared" si="0"/>
        <v>1666</v>
      </c>
      <c r="AA3" s="17">
        <f>SUM(C3,E3,G3,I3,K3,M3,O3,Q3,S3,U3,W3,Y3)</f>
        <v>23617</v>
      </c>
      <c r="AB3" s="18">
        <f>SUM(D3,F3,H3,J3,L3,N3,P3,R3,T3,V3,X3,Z3)</f>
        <v>22564.93</v>
      </c>
      <c r="AC3" s="31">
        <f>SUM(AA3-AB3)</f>
        <v>1052.0699999999997</v>
      </c>
      <c r="AD3" s="32">
        <f>IF(AA3&gt;0, AC3/AA3, "")</f>
        <v>4.454714824067408E-2</v>
      </c>
    </row>
    <row r="4" spans="1:30">
      <c r="A4" s="50" t="s">
        <v>6</v>
      </c>
      <c r="B4" s="51"/>
      <c r="C4" s="7">
        <v>1045</v>
      </c>
      <c r="D4" s="4">
        <v>0</v>
      </c>
      <c r="E4" s="7">
        <v>0</v>
      </c>
      <c r="F4" s="4">
        <v>0</v>
      </c>
      <c r="G4" s="7">
        <v>0</v>
      </c>
      <c r="H4" s="4">
        <v>0</v>
      </c>
      <c r="I4" s="7">
        <v>0</v>
      </c>
      <c r="J4" s="4">
        <v>0</v>
      </c>
      <c r="K4" s="7">
        <v>0</v>
      </c>
      <c r="L4" s="4">
        <v>0</v>
      </c>
      <c r="M4" s="7">
        <v>0</v>
      </c>
      <c r="N4" s="4">
        <v>0</v>
      </c>
      <c r="O4" s="7">
        <v>0</v>
      </c>
      <c r="P4" s="4">
        <v>0</v>
      </c>
      <c r="Q4" s="7">
        <v>0</v>
      </c>
      <c r="R4" s="4">
        <v>0</v>
      </c>
      <c r="S4" s="7">
        <v>0</v>
      </c>
      <c r="T4" s="4">
        <v>0</v>
      </c>
      <c r="U4" s="7">
        <v>0</v>
      </c>
      <c r="V4" s="4">
        <v>0</v>
      </c>
      <c r="W4" s="7">
        <v>0</v>
      </c>
      <c r="X4" s="4">
        <v>0</v>
      </c>
      <c r="Y4" s="7">
        <v>0</v>
      </c>
      <c r="Z4" s="4">
        <v>0</v>
      </c>
      <c r="AA4" s="7">
        <f t="shared" ref="AA4:AA8" si="1">SUM(C4,E4,G4,I4,K4,M4,O4,Q4,S4,U4,W4,Y4)</f>
        <v>1045</v>
      </c>
      <c r="AB4" s="4">
        <f>SUM(D4,F4,H4,J4,L4,N4,P4,R4,T4,V4,X4,Z4)</f>
        <v>0</v>
      </c>
      <c r="AC4" s="26">
        <f>SUM(AA4-AB4)</f>
        <v>1045</v>
      </c>
      <c r="AD4" s="30"/>
    </row>
    <row r="5" spans="1:30">
      <c r="A5" s="52" t="s">
        <v>7</v>
      </c>
      <c r="B5" s="53"/>
      <c r="C5" s="7">
        <v>0</v>
      </c>
      <c r="D5" s="4">
        <v>0</v>
      </c>
      <c r="E5" s="7">
        <v>0</v>
      </c>
      <c r="F5" s="4">
        <v>0</v>
      </c>
      <c r="G5" s="7">
        <v>0</v>
      </c>
      <c r="H5" s="4">
        <v>0</v>
      </c>
      <c r="I5" s="7">
        <v>0</v>
      </c>
      <c r="J5" s="4">
        <v>0</v>
      </c>
      <c r="K5" s="7">
        <v>0</v>
      </c>
      <c r="L5" s="4">
        <v>0</v>
      </c>
      <c r="M5" s="7">
        <v>0</v>
      </c>
      <c r="N5" s="4">
        <v>0</v>
      </c>
      <c r="O5" s="7">
        <v>120</v>
      </c>
      <c r="P5" s="4">
        <v>119.99</v>
      </c>
      <c r="Q5" s="7">
        <v>0</v>
      </c>
      <c r="R5" s="4">
        <v>0</v>
      </c>
      <c r="S5" s="7">
        <v>0</v>
      </c>
      <c r="T5" s="4">
        <v>0</v>
      </c>
      <c r="U5" s="7">
        <v>0</v>
      </c>
      <c r="V5" s="4">
        <v>0</v>
      </c>
      <c r="W5" s="7">
        <v>0</v>
      </c>
      <c r="X5" s="4">
        <v>0</v>
      </c>
      <c r="Y5" s="7">
        <v>0</v>
      </c>
      <c r="Z5" s="4">
        <v>0</v>
      </c>
      <c r="AA5" s="7">
        <f t="shared" si="1"/>
        <v>120</v>
      </c>
      <c r="AB5" s="4">
        <f t="shared" ref="AB5:AB12" si="2">SUM(D5,F5,H5,J5,L5,N5,P5,R5,T5,V5,X5,Z5)</f>
        <v>119.99</v>
      </c>
      <c r="AC5" s="26">
        <f t="shared" ref="AC5:AC12" si="3">SUM(AA5-AB5)</f>
        <v>1.0000000000005116E-2</v>
      </c>
      <c r="AD5" s="30"/>
    </row>
    <row r="6" spans="1:30">
      <c r="A6" s="52" t="s">
        <v>8</v>
      </c>
      <c r="B6" s="53"/>
      <c r="C6" s="7">
        <v>0</v>
      </c>
      <c r="D6" s="4">
        <v>0</v>
      </c>
      <c r="E6" s="7">
        <v>0</v>
      </c>
      <c r="F6" s="4">
        <v>0</v>
      </c>
      <c r="G6" s="7">
        <v>0</v>
      </c>
      <c r="H6" s="4">
        <v>0</v>
      </c>
      <c r="I6" s="7">
        <v>0</v>
      </c>
      <c r="J6" s="4">
        <v>0</v>
      </c>
      <c r="K6" s="7">
        <v>0</v>
      </c>
      <c r="L6" s="4">
        <v>0</v>
      </c>
      <c r="M6" s="7">
        <v>0</v>
      </c>
      <c r="N6" s="4">
        <v>0</v>
      </c>
      <c r="O6" s="7">
        <v>0</v>
      </c>
      <c r="P6" s="4">
        <v>0</v>
      </c>
      <c r="Q6" s="7">
        <v>150</v>
      </c>
      <c r="R6" s="4">
        <v>150</v>
      </c>
      <c r="S6" s="7">
        <v>0</v>
      </c>
      <c r="T6" s="4">
        <v>0</v>
      </c>
      <c r="U6" s="7">
        <v>0</v>
      </c>
      <c r="V6" s="4">
        <v>0</v>
      </c>
      <c r="W6" s="7">
        <v>0</v>
      </c>
      <c r="X6" s="4">
        <v>0</v>
      </c>
      <c r="Y6" s="7">
        <v>0</v>
      </c>
      <c r="Z6" s="4">
        <v>0</v>
      </c>
      <c r="AA6" s="7">
        <f t="shared" si="1"/>
        <v>150</v>
      </c>
      <c r="AB6" s="4">
        <f t="shared" si="2"/>
        <v>150</v>
      </c>
      <c r="AC6" s="26">
        <f t="shared" si="3"/>
        <v>0</v>
      </c>
      <c r="AD6" s="30"/>
    </row>
    <row r="7" spans="1:30">
      <c r="A7" s="52" t="s">
        <v>9</v>
      </c>
      <c r="B7" s="53"/>
      <c r="C7" s="7">
        <v>0</v>
      </c>
      <c r="D7" s="4">
        <v>0</v>
      </c>
      <c r="E7" s="7">
        <v>0</v>
      </c>
      <c r="F7" s="4">
        <v>0</v>
      </c>
      <c r="G7" s="7">
        <v>0</v>
      </c>
      <c r="H7" s="4">
        <v>0</v>
      </c>
      <c r="I7" s="7">
        <v>0</v>
      </c>
      <c r="J7" s="4">
        <v>0</v>
      </c>
      <c r="K7" s="7">
        <v>0</v>
      </c>
      <c r="L7" s="4">
        <v>0</v>
      </c>
      <c r="M7" s="7">
        <v>0</v>
      </c>
      <c r="N7" s="4">
        <v>99.99</v>
      </c>
      <c r="O7" s="7">
        <v>0</v>
      </c>
      <c r="P7" s="4">
        <v>0</v>
      </c>
      <c r="Q7" s="7">
        <v>0</v>
      </c>
      <c r="R7" s="4">
        <v>0</v>
      </c>
      <c r="S7" s="7">
        <v>0</v>
      </c>
      <c r="T7" s="4">
        <v>0</v>
      </c>
      <c r="U7" s="7">
        <v>0</v>
      </c>
      <c r="V7" s="4">
        <v>0</v>
      </c>
      <c r="W7" s="7">
        <v>0</v>
      </c>
      <c r="X7" s="4">
        <v>0</v>
      </c>
      <c r="Y7" s="7">
        <v>0</v>
      </c>
      <c r="Z7" s="4">
        <v>0</v>
      </c>
      <c r="AA7" s="7">
        <f t="shared" ref="AA7" si="4">SUM(C7,E7,G7,I7,K7,M7,O7,Q7,S7,U7,W7,Y7)</f>
        <v>0</v>
      </c>
      <c r="AB7" s="4">
        <f t="shared" ref="AB7" si="5">SUM(D7,F7,H7,J7,L7,N7,P7,R7,T7,V7,X7,Z7)</f>
        <v>99.99</v>
      </c>
      <c r="AC7" s="26">
        <f t="shared" si="3"/>
        <v>-99.99</v>
      </c>
      <c r="AD7" s="30"/>
    </row>
    <row r="8" spans="1:30">
      <c r="A8" s="52" t="s">
        <v>10</v>
      </c>
      <c r="B8" s="53"/>
      <c r="C8" s="7">
        <v>0</v>
      </c>
      <c r="D8" s="4">
        <v>99</v>
      </c>
      <c r="E8" s="7">
        <v>0</v>
      </c>
      <c r="F8" s="4">
        <v>0</v>
      </c>
      <c r="G8" s="7">
        <v>0</v>
      </c>
      <c r="H8" s="4">
        <v>0</v>
      </c>
      <c r="I8" s="7">
        <v>0</v>
      </c>
      <c r="J8" s="4">
        <v>0</v>
      </c>
      <c r="K8" s="7">
        <v>0</v>
      </c>
      <c r="L8" s="4">
        <v>0</v>
      </c>
      <c r="M8" s="7">
        <v>0</v>
      </c>
      <c r="N8" s="4">
        <v>0</v>
      </c>
      <c r="O8" s="7">
        <v>0</v>
      </c>
      <c r="P8" s="4">
        <v>0</v>
      </c>
      <c r="Q8" s="7">
        <v>0</v>
      </c>
      <c r="R8" s="4">
        <v>0</v>
      </c>
      <c r="S8" s="7">
        <v>0</v>
      </c>
      <c r="T8" s="4">
        <v>0</v>
      </c>
      <c r="U8" s="7">
        <v>0</v>
      </c>
      <c r="V8" s="4">
        <v>0</v>
      </c>
      <c r="W8" s="7">
        <v>0</v>
      </c>
      <c r="X8" s="4">
        <v>0</v>
      </c>
      <c r="Y8" s="7">
        <v>0</v>
      </c>
      <c r="Z8" s="4">
        <v>0</v>
      </c>
      <c r="AA8" s="7">
        <f t="shared" si="1"/>
        <v>0</v>
      </c>
      <c r="AB8" s="4">
        <f t="shared" si="2"/>
        <v>99</v>
      </c>
      <c r="AC8" s="26">
        <f t="shared" si="3"/>
        <v>-99</v>
      </c>
      <c r="AD8" s="30"/>
    </row>
    <row r="9" spans="1:30">
      <c r="A9" s="52" t="s">
        <v>11</v>
      </c>
      <c r="B9" s="53"/>
      <c r="C9" s="7">
        <v>0</v>
      </c>
      <c r="D9" s="4">
        <v>0</v>
      </c>
      <c r="E9" s="7">
        <v>2550</v>
      </c>
      <c r="F9" s="4">
        <v>2550</v>
      </c>
      <c r="G9" s="7">
        <v>0</v>
      </c>
      <c r="H9" s="4">
        <v>0</v>
      </c>
      <c r="I9" s="7">
        <v>0</v>
      </c>
      <c r="J9" s="4">
        <v>0</v>
      </c>
      <c r="K9" s="7">
        <v>2550</v>
      </c>
      <c r="L9" s="4">
        <v>2550</v>
      </c>
      <c r="M9" s="7">
        <v>0</v>
      </c>
      <c r="N9" s="4">
        <v>0</v>
      </c>
      <c r="O9" s="7">
        <v>0</v>
      </c>
      <c r="P9" s="4">
        <v>0</v>
      </c>
      <c r="Q9" s="7">
        <v>2550</v>
      </c>
      <c r="R9" s="4">
        <v>2550</v>
      </c>
      <c r="S9" s="7">
        <v>0</v>
      </c>
      <c r="T9" s="4">
        <v>0</v>
      </c>
      <c r="U9" s="7">
        <v>0</v>
      </c>
      <c r="V9" s="4">
        <v>0</v>
      </c>
      <c r="W9" s="7">
        <v>2550</v>
      </c>
      <c r="X9" s="4">
        <v>2550</v>
      </c>
      <c r="Y9" s="7">
        <v>0</v>
      </c>
      <c r="Z9" s="4">
        <v>0</v>
      </c>
      <c r="AA9" s="7">
        <f t="shared" ref="AA9:AA16" si="6">SUM(C9,E9,G9,I9,K9,M9,O9,Q9,S9,U9,W9,Y9)</f>
        <v>10200</v>
      </c>
      <c r="AB9" s="4">
        <f t="shared" si="2"/>
        <v>10200</v>
      </c>
      <c r="AC9" s="26">
        <f t="shared" si="3"/>
        <v>0</v>
      </c>
      <c r="AD9" s="30"/>
    </row>
    <row r="10" spans="1:30">
      <c r="A10" s="52" t="s">
        <v>12</v>
      </c>
      <c r="B10" s="53"/>
      <c r="C10" s="7">
        <v>0</v>
      </c>
      <c r="D10" s="4">
        <v>0</v>
      </c>
      <c r="E10" s="7">
        <v>0</v>
      </c>
      <c r="F10" s="4">
        <v>0</v>
      </c>
      <c r="G10" s="7">
        <v>0</v>
      </c>
      <c r="H10" s="4">
        <v>0</v>
      </c>
      <c r="I10" s="7">
        <v>0</v>
      </c>
      <c r="J10" s="4">
        <v>0</v>
      </c>
      <c r="K10" s="7">
        <v>0</v>
      </c>
      <c r="L10" s="4">
        <v>0</v>
      </c>
      <c r="M10" s="7">
        <v>0</v>
      </c>
      <c r="N10" s="4">
        <v>0</v>
      </c>
      <c r="O10" s="7">
        <v>0</v>
      </c>
      <c r="P10" s="4">
        <v>0</v>
      </c>
      <c r="Q10" s="7">
        <v>0</v>
      </c>
      <c r="R10" s="4">
        <v>0</v>
      </c>
      <c r="S10" s="7">
        <v>12</v>
      </c>
      <c r="T10" s="4">
        <v>12</v>
      </c>
      <c r="U10" s="7">
        <v>0</v>
      </c>
      <c r="V10" s="4">
        <v>0</v>
      </c>
      <c r="W10" s="7">
        <v>0</v>
      </c>
      <c r="X10" s="4">
        <v>0</v>
      </c>
      <c r="Y10" s="7">
        <v>0</v>
      </c>
      <c r="Z10" s="4">
        <v>0</v>
      </c>
      <c r="AA10" s="7">
        <f t="shared" si="6"/>
        <v>12</v>
      </c>
      <c r="AB10" s="4">
        <f t="shared" si="2"/>
        <v>12</v>
      </c>
      <c r="AC10" s="26">
        <f t="shared" si="3"/>
        <v>0</v>
      </c>
      <c r="AD10" s="30"/>
    </row>
    <row r="11" spans="1:30">
      <c r="A11" s="52" t="s">
        <v>13</v>
      </c>
      <c r="B11" s="53"/>
      <c r="C11" s="7">
        <v>925</v>
      </c>
      <c r="D11" s="4">
        <v>925</v>
      </c>
      <c r="E11" s="7">
        <v>925</v>
      </c>
      <c r="F11" s="4">
        <v>925</v>
      </c>
      <c r="G11" s="7">
        <v>925</v>
      </c>
      <c r="H11" s="4">
        <v>925</v>
      </c>
      <c r="I11" s="7">
        <v>925</v>
      </c>
      <c r="J11" s="4">
        <v>925</v>
      </c>
      <c r="K11" s="7">
        <v>925</v>
      </c>
      <c r="L11" s="4">
        <v>925</v>
      </c>
      <c r="M11" s="7">
        <v>925</v>
      </c>
      <c r="N11" s="4">
        <v>925</v>
      </c>
      <c r="O11" s="7">
        <v>925</v>
      </c>
      <c r="P11" s="4">
        <v>925</v>
      </c>
      <c r="Q11" s="7">
        <v>925</v>
      </c>
      <c r="R11" s="4">
        <v>925</v>
      </c>
      <c r="S11" s="7">
        <v>925</v>
      </c>
      <c r="T11" s="4">
        <v>925</v>
      </c>
      <c r="U11" s="7">
        <v>925</v>
      </c>
      <c r="V11" s="4">
        <v>925</v>
      </c>
      <c r="W11" s="7">
        <v>925</v>
      </c>
      <c r="X11" s="4">
        <v>925</v>
      </c>
      <c r="Y11" s="7">
        <v>925</v>
      </c>
      <c r="Z11" s="4">
        <v>925</v>
      </c>
      <c r="AA11" s="7">
        <f t="shared" si="6"/>
        <v>11100</v>
      </c>
      <c r="AB11" s="4">
        <f t="shared" si="2"/>
        <v>11100</v>
      </c>
      <c r="AC11" s="26">
        <f t="shared" si="3"/>
        <v>0</v>
      </c>
      <c r="AD11" s="30"/>
    </row>
    <row r="12" spans="1:30">
      <c r="A12" s="52" t="s">
        <v>14</v>
      </c>
      <c r="B12" s="53"/>
      <c r="C12" s="7">
        <v>65</v>
      </c>
      <c r="D12" s="4">
        <v>21.28</v>
      </c>
      <c r="E12" s="7">
        <v>65</v>
      </c>
      <c r="F12" s="4">
        <v>21.28</v>
      </c>
      <c r="G12" s="7">
        <v>65</v>
      </c>
      <c r="H12" s="4">
        <v>21.28</v>
      </c>
      <c r="I12" s="7">
        <v>65</v>
      </c>
      <c r="J12" s="4">
        <v>21.28</v>
      </c>
      <c r="K12" s="7">
        <v>65</v>
      </c>
      <c r="L12" s="4">
        <v>51.28</v>
      </c>
      <c r="M12" s="7">
        <v>65</v>
      </c>
      <c r="N12" s="4">
        <v>51.28</v>
      </c>
      <c r="O12" s="7">
        <v>100</v>
      </c>
      <c r="P12" s="4">
        <v>140.66</v>
      </c>
      <c r="Q12" s="7">
        <v>100</v>
      </c>
      <c r="R12" s="4">
        <v>209</v>
      </c>
      <c r="S12" s="7">
        <v>100</v>
      </c>
      <c r="T12" s="4">
        <v>21.28</v>
      </c>
      <c r="U12" s="7">
        <v>100</v>
      </c>
      <c r="V12" s="4">
        <v>0</v>
      </c>
      <c r="W12" s="7">
        <v>100</v>
      </c>
      <c r="X12" s="4">
        <v>0</v>
      </c>
      <c r="Y12" s="7">
        <v>100</v>
      </c>
      <c r="Z12" s="4">
        <v>0</v>
      </c>
      <c r="AA12" s="7">
        <f t="shared" si="6"/>
        <v>990</v>
      </c>
      <c r="AB12" s="4">
        <f t="shared" si="2"/>
        <v>558.62</v>
      </c>
      <c r="AC12" s="26">
        <f t="shared" si="3"/>
        <v>431.38</v>
      </c>
      <c r="AD12" s="30"/>
    </row>
    <row r="13" spans="1:30" ht="15.75" thickBot="1">
      <c r="A13" s="44" t="s">
        <v>15</v>
      </c>
      <c r="B13" s="45"/>
      <c r="C13" s="8">
        <v>0</v>
      </c>
      <c r="D13" s="5">
        <v>8.9700000000000006</v>
      </c>
      <c r="E13" s="8">
        <v>0</v>
      </c>
      <c r="F13" s="5">
        <v>0</v>
      </c>
      <c r="G13" s="8">
        <v>0</v>
      </c>
      <c r="H13" s="5">
        <v>0</v>
      </c>
      <c r="I13" s="8">
        <v>0</v>
      </c>
      <c r="J13" s="4">
        <v>0</v>
      </c>
      <c r="K13" s="8">
        <v>0</v>
      </c>
      <c r="L13" s="4">
        <v>0</v>
      </c>
      <c r="M13" s="8">
        <v>0</v>
      </c>
      <c r="N13" s="4">
        <v>0</v>
      </c>
      <c r="O13" s="8">
        <v>0</v>
      </c>
      <c r="P13" s="4">
        <v>741</v>
      </c>
      <c r="Q13" s="8">
        <v>0</v>
      </c>
      <c r="R13" s="4">
        <v>741</v>
      </c>
      <c r="S13" s="8">
        <v>0</v>
      </c>
      <c r="T13" s="4">
        <v>763</v>
      </c>
      <c r="U13" s="8">
        <v>0</v>
      </c>
      <c r="V13" s="4">
        <v>741</v>
      </c>
      <c r="W13" s="8">
        <v>0</v>
      </c>
      <c r="X13" s="4">
        <v>741</v>
      </c>
      <c r="Y13" s="8">
        <v>0</v>
      </c>
      <c r="Z13" s="4">
        <v>741</v>
      </c>
      <c r="AA13" s="7">
        <f t="shared" si="6"/>
        <v>0</v>
      </c>
      <c r="AB13" s="4">
        <f>SUM(D13,F13,H13,J13,L13,N13,P13,R13,T13,V13,X13,Z13)</f>
        <v>4476.97</v>
      </c>
      <c r="AC13" s="26">
        <f t="shared" ref="AC13:AC46" si="7">SUM(AA13-AB13)</f>
        <v>-4476.97</v>
      </c>
      <c r="AD13" s="30"/>
    </row>
    <row r="14" spans="1:30">
      <c r="A14" s="22">
        <v>6124.34</v>
      </c>
      <c r="B14" s="21" t="s">
        <v>16</v>
      </c>
      <c r="C14" s="12">
        <f>SUM(C15)</f>
        <v>32</v>
      </c>
      <c r="D14" s="16">
        <v>0</v>
      </c>
      <c r="E14" s="12">
        <f t="shared" ref="E14:Z14" si="8">SUM(E15)</f>
        <v>32</v>
      </c>
      <c r="F14" s="13">
        <f t="shared" si="8"/>
        <v>0</v>
      </c>
      <c r="G14" s="12">
        <f t="shared" si="8"/>
        <v>32</v>
      </c>
      <c r="H14" s="13">
        <f t="shared" si="8"/>
        <v>0</v>
      </c>
      <c r="I14" s="12">
        <f t="shared" si="8"/>
        <v>32</v>
      </c>
      <c r="J14" s="13">
        <f t="shared" si="8"/>
        <v>0</v>
      </c>
      <c r="K14" s="12">
        <f t="shared" si="8"/>
        <v>32</v>
      </c>
      <c r="L14" s="13">
        <f t="shared" si="8"/>
        <v>0</v>
      </c>
      <c r="M14" s="12">
        <f t="shared" si="8"/>
        <v>32</v>
      </c>
      <c r="N14" s="13">
        <f t="shared" si="8"/>
        <v>0</v>
      </c>
      <c r="O14" s="12">
        <f t="shared" si="8"/>
        <v>32</v>
      </c>
      <c r="P14" s="13">
        <f t="shared" si="8"/>
        <v>454.78</v>
      </c>
      <c r="Q14" s="12">
        <f t="shared" si="8"/>
        <v>32</v>
      </c>
      <c r="R14" s="13">
        <f t="shared" si="8"/>
        <v>0</v>
      </c>
      <c r="S14" s="12">
        <f t="shared" si="8"/>
        <v>32</v>
      </c>
      <c r="T14" s="13">
        <f t="shared" si="8"/>
        <v>0</v>
      </c>
      <c r="U14" s="12">
        <f t="shared" si="8"/>
        <v>32</v>
      </c>
      <c r="V14" s="13">
        <f t="shared" si="8"/>
        <v>0</v>
      </c>
      <c r="W14" s="12">
        <f t="shared" si="8"/>
        <v>32</v>
      </c>
      <c r="X14" s="13">
        <f t="shared" si="8"/>
        <v>0</v>
      </c>
      <c r="Y14" s="12">
        <f t="shared" si="8"/>
        <v>32</v>
      </c>
      <c r="Z14" s="13">
        <f t="shared" si="8"/>
        <v>0</v>
      </c>
      <c r="AA14" s="17">
        <f t="shared" si="6"/>
        <v>384</v>
      </c>
      <c r="AB14" s="18">
        <f>SUM(D14,F14,H14,J14,L14,N14,P14,R14,T14,V14,X14,Z14)</f>
        <v>454.78</v>
      </c>
      <c r="AC14" s="25">
        <f t="shared" si="7"/>
        <v>-70.779999999999973</v>
      </c>
      <c r="AD14" s="29">
        <f t="shared" ref="AD14:AD46" si="9">IF(AA14&gt;0, AC14/AA14, "")</f>
        <v>-0.18432291666666659</v>
      </c>
    </row>
    <row r="15" spans="1:30" ht="15.75" thickBot="1">
      <c r="A15" s="46" t="s">
        <v>17</v>
      </c>
      <c r="B15" s="47"/>
      <c r="C15" s="8">
        <v>32</v>
      </c>
      <c r="D15" s="5">
        <v>0</v>
      </c>
      <c r="E15" s="8">
        <v>32</v>
      </c>
      <c r="F15" s="4">
        <v>0</v>
      </c>
      <c r="G15" s="8">
        <v>32</v>
      </c>
      <c r="H15" s="4">
        <v>0</v>
      </c>
      <c r="I15" s="8">
        <v>32</v>
      </c>
      <c r="J15" s="4">
        <v>0</v>
      </c>
      <c r="K15" s="8">
        <v>32</v>
      </c>
      <c r="L15" s="4">
        <v>0</v>
      </c>
      <c r="M15" s="8">
        <v>32</v>
      </c>
      <c r="N15" s="4">
        <v>0</v>
      </c>
      <c r="O15" s="8">
        <v>32</v>
      </c>
      <c r="P15" s="4">
        <v>454.78</v>
      </c>
      <c r="Q15" s="8">
        <v>32</v>
      </c>
      <c r="R15" s="4">
        <v>0</v>
      </c>
      <c r="S15" s="8">
        <v>32</v>
      </c>
      <c r="T15" s="4">
        <v>0</v>
      </c>
      <c r="U15" s="8">
        <v>32</v>
      </c>
      <c r="V15" s="4">
        <v>0</v>
      </c>
      <c r="W15" s="8">
        <v>32</v>
      </c>
      <c r="X15" s="4">
        <v>0</v>
      </c>
      <c r="Y15" s="8">
        <v>32</v>
      </c>
      <c r="Z15" s="4">
        <v>0</v>
      </c>
      <c r="AA15" s="7">
        <f t="shared" si="6"/>
        <v>384</v>
      </c>
      <c r="AB15" s="4">
        <f>SUM(D15,F15,H15,J15,L15,N15,P15,R15,T15,V15,X15,Z15)</f>
        <v>454.78</v>
      </c>
      <c r="AC15" s="26">
        <f t="shared" si="7"/>
        <v>-70.779999999999973</v>
      </c>
      <c r="AD15" s="36"/>
    </row>
    <row r="16" spans="1:30">
      <c r="A16" s="22">
        <v>6623.15</v>
      </c>
      <c r="B16" s="21" t="s">
        <v>18</v>
      </c>
      <c r="C16" s="12">
        <f>SUM(C17:C21)</f>
        <v>0</v>
      </c>
      <c r="D16" s="13">
        <f t="shared" ref="D16:Z16" si="10">SUM(D17:D21)</f>
        <v>0</v>
      </c>
      <c r="E16" s="12">
        <f t="shared" si="10"/>
        <v>0</v>
      </c>
      <c r="F16" s="13">
        <f t="shared" si="10"/>
        <v>0</v>
      </c>
      <c r="G16" s="12">
        <f t="shared" si="10"/>
        <v>0</v>
      </c>
      <c r="H16" s="13">
        <f t="shared" si="10"/>
        <v>1084</v>
      </c>
      <c r="I16" s="12">
        <f t="shared" si="10"/>
        <v>1320</v>
      </c>
      <c r="J16" s="13">
        <f t="shared" si="10"/>
        <v>466.96</v>
      </c>
      <c r="K16" s="12">
        <f t="shared" si="10"/>
        <v>0</v>
      </c>
      <c r="L16" s="13">
        <f t="shared" si="10"/>
        <v>0</v>
      </c>
      <c r="M16" s="12">
        <f t="shared" si="10"/>
        <v>0</v>
      </c>
      <c r="N16" s="13">
        <f t="shared" si="10"/>
        <v>1161</v>
      </c>
      <c r="O16" s="12">
        <f t="shared" si="10"/>
        <v>0</v>
      </c>
      <c r="P16" s="13">
        <f t="shared" si="10"/>
        <v>0</v>
      </c>
      <c r="Q16" s="12">
        <f t="shared" si="10"/>
        <v>0</v>
      </c>
      <c r="R16" s="13">
        <f t="shared" si="10"/>
        <v>0</v>
      </c>
      <c r="S16" s="12">
        <f t="shared" si="10"/>
        <v>2560</v>
      </c>
      <c r="T16" s="13">
        <f t="shared" si="10"/>
        <v>1509.09</v>
      </c>
      <c r="U16" s="12">
        <f t="shared" si="10"/>
        <v>0</v>
      </c>
      <c r="V16" s="13">
        <f t="shared" si="10"/>
        <v>0</v>
      </c>
      <c r="W16" s="12">
        <f t="shared" si="10"/>
        <v>0</v>
      </c>
      <c r="X16" s="13">
        <f t="shared" si="10"/>
        <v>0</v>
      </c>
      <c r="Y16" s="12">
        <f t="shared" si="10"/>
        <v>0</v>
      </c>
      <c r="Z16" s="13">
        <f t="shared" si="10"/>
        <v>0</v>
      </c>
      <c r="AA16" s="17">
        <f t="shared" si="6"/>
        <v>3880</v>
      </c>
      <c r="AB16" s="18">
        <f>SUM(D16,F16,H16,J16,L16,N16,P16,R16,T16,V16,X16,Z16)</f>
        <v>4221.05</v>
      </c>
      <c r="AC16" s="25">
        <f t="shared" si="7"/>
        <v>-341.05000000000018</v>
      </c>
      <c r="AD16" s="32">
        <f t="shared" si="9"/>
        <v>-8.7899484536082526E-2</v>
      </c>
    </row>
    <row r="17" spans="1:30">
      <c r="A17" s="50" t="s">
        <v>19</v>
      </c>
      <c r="B17" s="51"/>
      <c r="C17" s="7">
        <v>0</v>
      </c>
      <c r="D17" s="4">
        <v>0</v>
      </c>
      <c r="E17" s="7">
        <v>0</v>
      </c>
      <c r="F17" s="4">
        <v>0</v>
      </c>
      <c r="G17" s="7">
        <v>0</v>
      </c>
      <c r="H17" s="4">
        <v>0</v>
      </c>
      <c r="I17" s="7">
        <v>1320</v>
      </c>
      <c r="J17" s="4">
        <v>0</v>
      </c>
      <c r="K17" s="7">
        <v>0</v>
      </c>
      <c r="L17" s="4">
        <v>0</v>
      </c>
      <c r="M17" s="7">
        <v>0</v>
      </c>
      <c r="N17" s="4">
        <v>0</v>
      </c>
      <c r="O17" s="7">
        <v>0</v>
      </c>
      <c r="P17" s="4">
        <v>0</v>
      </c>
      <c r="Q17" s="7">
        <v>0</v>
      </c>
      <c r="R17" s="4">
        <v>0</v>
      </c>
      <c r="S17" s="7">
        <v>0</v>
      </c>
      <c r="T17" s="4">
        <v>0</v>
      </c>
      <c r="U17" s="7">
        <v>0</v>
      </c>
      <c r="V17" s="4">
        <v>0</v>
      </c>
      <c r="W17" s="7">
        <v>0</v>
      </c>
      <c r="X17" s="4">
        <v>0</v>
      </c>
      <c r="Y17" s="7">
        <v>0</v>
      </c>
      <c r="Z17" s="4">
        <v>0</v>
      </c>
      <c r="AA17" s="7">
        <f t="shared" ref="AA17:AA21" si="11">SUM(C17,E17,G17,I17,K17,M17,O17,Q17,S17,U17,W17,Y17)</f>
        <v>1320</v>
      </c>
      <c r="AB17" s="4">
        <f>SUM(D17,F17,H17,J17,L17,N17,P17,R17,T17,V17,X17,Z17)</f>
        <v>0</v>
      </c>
      <c r="AC17" s="26">
        <f t="shared" si="7"/>
        <v>1320</v>
      </c>
      <c r="AD17" s="30"/>
    </row>
    <row r="18" spans="1:30">
      <c r="A18" s="52" t="s">
        <v>20</v>
      </c>
      <c r="B18" s="53"/>
      <c r="C18" s="7">
        <v>0</v>
      </c>
      <c r="D18" s="4">
        <v>0</v>
      </c>
      <c r="E18" s="7">
        <v>0</v>
      </c>
      <c r="F18" s="4">
        <v>0</v>
      </c>
      <c r="G18" s="7">
        <v>0</v>
      </c>
      <c r="H18" s="4">
        <v>1084</v>
      </c>
      <c r="I18" s="7">
        <v>0</v>
      </c>
      <c r="J18" s="4">
        <v>466.96</v>
      </c>
      <c r="K18" s="7">
        <v>0</v>
      </c>
      <c r="L18" s="4">
        <v>0</v>
      </c>
      <c r="M18" s="7">
        <v>0</v>
      </c>
      <c r="N18" s="4">
        <v>0</v>
      </c>
      <c r="O18" s="7">
        <v>0</v>
      </c>
      <c r="P18" s="4">
        <v>0</v>
      </c>
      <c r="Q18" s="7">
        <v>0</v>
      </c>
      <c r="R18" s="4">
        <v>0</v>
      </c>
      <c r="S18" s="7">
        <v>0</v>
      </c>
      <c r="T18" s="4">
        <v>0</v>
      </c>
      <c r="U18" s="7">
        <v>0</v>
      </c>
      <c r="V18" s="4">
        <v>0</v>
      </c>
      <c r="W18" s="7">
        <v>0</v>
      </c>
      <c r="X18" s="4">
        <v>0</v>
      </c>
      <c r="Y18" s="7">
        <v>0</v>
      </c>
      <c r="Z18" s="4">
        <v>0</v>
      </c>
      <c r="AA18" s="7">
        <f t="shared" si="11"/>
        <v>0</v>
      </c>
      <c r="AB18" s="4">
        <f>SUM(D18,F18,H18,J18,L18,N18,P18,R18,T18,V18,X18,Z18)</f>
        <v>1550.96</v>
      </c>
      <c r="AC18" s="39">
        <f t="shared" si="7"/>
        <v>-1550.96</v>
      </c>
      <c r="AD18" s="30"/>
    </row>
    <row r="19" spans="1:30">
      <c r="A19" s="54" t="s">
        <v>21</v>
      </c>
      <c r="B19" s="55"/>
      <c r="C19" s="7">
        <v>0</v>
      </c>
      <c r="D19" s="4">
        <v>0</v>
      </c>
      <c r="E19" s="7">
        <v>0</v>
      </c>
      <c r="F19" s="4">
        <v>0</v>
      </c>
      <c r="G19" s="7">
        <v>0</v>
      </c>
      <c r="H19" s="4">
        <v>0</v>
      </c>
      <c r="I19" s="7">
        <v>0</v>
      </c>
      <c r="J19" s="4">
        <v>0</v>
      </c>
      <c r="K19" s="7">
        <v>0</v>
      </c>
      <c r="L19" s="4">
        <v>0</v>
      </c>
      <c r="M19" s="7">
        <v>0</v>
      </c>
      <c r="N19" s="4">
        <v>1161</v>
      </c>
      <c r="O19" s="7">
        <v>0</v>
      </c>
      <c r="P19" s="4">
        <v>0</v>
      </c>
      <c r="Q19" s="7">
        <v>0</v>
      </c>
      <c r="R19" s="4">
        <v>0</v>
      </c>
      <c r="S19" s="7">
        <v>2560</v>
      </c>
      <c r="T19" s="4">
        <v>0</v>
      </c>
      <c r="U19" s="7">
        <v>0</v>
      </c>
      <c r="V19" s="4">
        <v>0</v>
      </c>
      <c r="W19" s="7">
        <v>0</v>
      </c>
      <c r="X19" s="4">
        <v>0</v>
      </c>
      <c r="Y19" s="7">
        <v>0</v>
      </c>
      <c r="Z19" s="4">
        <v>0</v>
      </c>
      <c r="AA19" s="7">
        <f t="shared" si="11"/>
        <v>2560</v>
      </c>
      <c r="AB19" s="4">
        <f>SUM(D19,F19,H19,J19,L19,N19,P19,R19,T19,V19,X19,Z19)</f>
        <v>1161</v>
      </c>
      <c r="AC19" s="26">
        <f t="shared" si="7"/>
        <v>1399</v>
      </c>
      <c r="AD19" s="38"/>
    </row>
    <row r="20" spans="1:30">
      <c r="A20" s="40"/>
      <c r="B20" s="41" t="s">
        <v>22</v>
      </c>
      <c r="C20" s="7">
        <v>0</v>
      </c>
      <c r="D20" s="4">
        <v>0</v>
      </c>
      <c r="E20" s="7">
        <v>0</v>
      </c>
      <c r="F20" s="4">
        <v>0</v>
      </c>
      <c r="G20" s="7">
        <v>0</v>
      </c>
      <c r="H20" s="4">
        <v>0</v>
      </c>
      <c r="I20" s="7">
        <v>0</v>
      </c>
      <c r="J20" s="4">
        <v>0</v>
      </c>
      <c r="K20" s="7">
        <v>0</v>
      </c>
      <c r="L20" s="4">
        <v>0</v>
      </c>
      <c r="M20" s="7">
        <v>0</v>
      </c>
      <c r="N20" s="4">
        <v>0</v>
      </c>
      <c r="O20" s="7">
        <v>0</v>
      </c>
      <c r="P20" s="4">
        <v>0</v>
      </c>
      <c r="Q20" s="7">
        <v>0</v>
      </c>
      <c r="R20" s="4">
        <v>0</v>
      </c>
      <c r="S20" s="7">
        <v>0</v>
      </c>
      <c r="T20" s="4">
        <v>1509.09</v>
      </c>
      <c r="U20" s="7">
        <v>0</v>
      </c>
      <c r="V20" s="4">
        <v>0</v>
      </c>
      <c r="W20" s="7">
        <v>0</v>
      </c>
      <c r="X20" s="4">
        <v>0</v>
      </c>
      <c r="Y20" s="7">
        <v>0</v>
      </c>
      <c r="Z20" s="4">
        <v>0</v>
      </c>
      <c r="AA20" s="7">
        <f t="shared" si="11"/>
        <v>0</v>
      </c>
      <c r="AB20" s="4">
        <f>SUM(D20,F20,H20,J20,L20,N20,P20,R20,T20,V20,X20,Z20)</f>
        <v>1509.09</v>
      </c>
      <c r="AC20" s="26">
        <f t="shared" si="7"/>
        <v>-1509.09</v>
      </c>
      <c r="AD20" s="38"/>
    </row>
    <row r="21" spans="1:30">
      <c r="A21" s="44"/>
      <c r="B21" s="45"/>
      <c r="C21" s="8">
        <v>0</v>
      </c>
      <c r="D21" s="5">
        <v>0</v>
      </c>
      <c r="E21" s="8">
        <v>0</v>
      </c>
      <c r="F21" s="15">
        <v>0</v>
      </c>
      <c r="G21" s="8">
        <v>0</v>
      </c>
      <c r="H21" s="5">
        <v>0</v>
      </c>
      <c r="I21" s="8">
        <v>0</v>
      </c>
      <c r="J21" s="4">
        <v>0</v>
      </c>
      <c r="K21" s="8">
        <v>0</v>
      </c>
      <c r="L21" s="4">
        <v>0</v>
      </c>
      <c r="M21" s="8">
        <v>0</v>
      </c>
      <c r="N21" s="4">
        <v>0</v>
      </c>
      <c r="O21" s="8">
        <v>0</v>
      </c>
      <c r="P21" s="4">
        <v>0</v>
      </c>
      <c r="Q21" s="8">
        <v>0</v>
      </c>
      <c r="R21" s="4">
        <v>0</v>
      </c>
      <c r="S21" s="8"/>
      <c r="T21" s="4">
        <v>0</v>
      </c>
      <c r="U21" s="8">
        <v>0</v>
      </c>
      <c r="V21" s="4">
        <v>0</v>
      </c>
      <c r="W21" s="8">
        <v>0</v>
      </c>
      <c r="X21" s="4">
        <v>0</v>
      </c>
      <c r="Y21" s="8">
        <v>0</v>
      </c>
      <c r="Z21" s="4">
        <v>0</v>
      </c>
      <c r="AA21" s="7">
        <f t="shared" si="11"/>
        <v>0</v>
      </c>
      <c r="AB21" s="4">
        <f t="shared" ref="AB21:AB46" si="12">SUM(D21,F21,H21,J21,L21,N21,P21,R21,T21,V21,X21,Z21)</f>
        <v>0</v>
      </c>
      <c r="AC21" s="26">
        <f t="shared" si="7"/>
        <v>0</v>
      </c>
      <c r="AD21" s="36"/>
    </row>
    <row r="22" spans="1:30">
      <c r="A22" s="22">
        <v>6623.16</v>
      </c>
      <c r="B22" s="21" t="s">
        <v>23</v>
      </c>
      <c r="C22" s="12">
        <f>SUM(C23:C25)</f>
        <v>0</v>
      </c>
      <c r="D22" s="13">
        <f t="shared" ref="D22:Z22" si="13">SUM(D23:D25)</f>
        <v>0</v>
      </c>
      <c r="E22" s="12">
        <f t="shared" si="13"/>
        <v>0</v>
      </c>
      <c r="F22" s="13">
        <f t="shared" si="13"/>
        <v>0</v>
      </c>
      <c r="G22" s="12">
        <f t="shared" si="13"/>
        <v>0</v>
      </c>
      <c r="H22" s="13">
        <f t="shared" si="13"/>
        <v>0</v>
      </c>
      <c r="I22" s="12">
        <f t="shared" si="13"/>
        <v>400</v>
      </c>
      <c r="J22" s="13">
        <f t="shared" si="13"/>
        <v>0</v>
      </c>
      <c r="K22" s="12">
        <f t="shared" si="13"/>
        <v>0</v>
      </c>
      <c r="L22" s="13">
        <f t="shared" si="13"/>
        <v>0</v>
      </c>
      <c r="M22" s="12">
        <f t="shared" si="13"/>
        <v>0</v>
      </c>
      <c r="N22" s="13">
        <f t="shared" si="13"/>
        <v>285</v>
      </c>
      <c r="O22" s="12">
        <f t="shared" si="13"/>
        <v>0</v>
      </c>
      <c r="P22" s="13">
        <f t="shared" si="13"/>
        <v>0</v>
      </c>
      <c r="Q22" s="12">
        <f t="shared" si="13"/>
        <v>0</v>
      </c>
      <c r="R22" s="13">
        <f t="shared" si="13"/>
        <v>0</v>
      </c>
      <c r="S22" s="12">
        <f t="shared" si="13"/>
        <v>660</v>
      </c>
      <c r="T22" s="13">
        <f t="shared" si="13"/>
        <v>0</v>
      </c>
      <c r="U22" s="12">
        <f t="shared" si="13"/>
        <v>0</v>
      </c>
      <c r="V22" s="13">
        <f t="shared" si="13"/>
        <v>0</v>
      </c>
      <c r="W22" s="12">
        <f t="shared" si="13"/>
        <v>0</v>
      </c>
      <c r="X22" s="13">
        <f t="shared" si="13"/>
        <v>0</v>
      </c>
      <c r="Y22" s="12">
        <f t="shared" si="13"/>
        <v>0</v>
      </c>
      <c r="Z22" s="13">
        <f t="shared" si="13"/>
        <v>0</v>
      </c>
      <c r="AA22" s="17">
        <f t="shared" ref="AA22:AA46" si="14">SUM(C22,E22,G22,I22,K22,M22,O22,Q22,S22,U22,W22,Y22)</f>
        <v>1060</v>
      </c>
      <c r="AB22" s="18">
        <f t="shared" si="12"/>
        <v>285</v>
      </c>
      <c r="AC22" s="25">
        <f t="shared" si="7"/>
        <v>775</v>
      </c>
      <c r="AD22" s="32">
        <f t="shared" si="9"/>
        <v>0.73113207547169812</v>
      </c>
    </row>
    <row r="23" spans="1:30">
      <c r="A23" s="50" t="s">
        <v>24</v>
      </c>
      <c r="B23" s="51"/>
      <c r="C23" s="7">
        <v>0</v>
      </c>
      <c r="D23" s="4">
        <v>0</v>
      </c>
      <c r="E23" s="7">
        <v>0</v>
      </c>
      <c r="F23" s="4">
        <v>0</v>
      </c>
      <c r="G23" s="7">
        <v>0</v>
      </c>
      <c r="H23" s="4">
        <v>0</v>
      </c>
      <c r="I23" s="7">
        <v>400</v>
      </c>
      <c r="J23" s="4">
        <v>0</v>
      </c>
      <c r="K23" s="7">
        <v>0</v>
      </c>
      <c r="L23" s="4">
        <v>0</v>
      </c>
      <c r="M23" s="7">
        <v>0</v>
      </c>
      <c r="N23" s="4">
        <v>0</v>
      </c>
      <c r="O23" s="7">
        <v>0</v>
      </c>
      <c r="P23" s="4">
        <v>0</v>
      </c>
      <c r="Q23" s="7">
        <v>0</v>
      </c>
      <c r="R23" s="4">
        <v>0</v>
      </c>
      <c r="S23" s="7">
        <v>0</v>
      </c>
      <c r="T23" s="4">
        <v>0</v>
      </c>
      <c r="U23" s="7">
        <v>0</v>
      </c>
      <c r="V23" s="4">
        <v>0</v>
      </c>
      <c r="W23" s="7">
        <v>0</v>
      </c>
      <c r="X23" s="4">
        <v>0</v>
      </c>
      <c r="Y23" s="7">
        <v>0</v>
      </c>
      <c r="Z23" s="4">
        <v>0</v>
      </c>
      <c r="AA23" s="7">
        <f t="shared" si="14"/>
        <v>400</v>
      </c>
      <c r="AB23" s="4">
        <f t="shared" si="12"/>
        <v>0</v>
      </c>
      <c r="AC23" s="26">
        <f t="shared" si="7"/>
        <v>400</v>
      </c>
      <c r="AD23" s="30"/>
    </row>
    <row r="24" spans="1:30">
      <c r="A24" s="52" t="s">
        <v>20</v>
      </c>
      <c r="B24" s="53"/>
      <c r="C24" s="7">
        <v>0</v>
      </c>
      <c r="D24" s="4">
        <v>0</v>
      </c>
      <c r="E24" s="7">
        <v>0</v>
      </c>
      <c r="F24" s="4">
        <v>0</v>
      </c>
      <c r="G24" s="7">
        <v>0</v>
      </c>
      <c r="H24" s="4">
        <v>0</v>
      </c>
      <c r="I24" s="7">
        <v>0</v>
      </c>
      <c r="J24" s="4">
        <v>0</v>
      </c>
      <c r="K24" s="7">
        <v>0</v>
      </c>
      <c r="L24" s="4">
        <v>0</v>
      </c>
      <c r="M24" s="7">
        <v>0</v>
      </c>
      <c r="N24" s="4">
        <v>285</v>
      </c>
      <c r="O24" s="7">
        <v>0</v>
      </c>
      <c r="P24" s="4">
        <v>0</v>
      </c>
      <c r="Q24" s="7">
        <v>0</v>
      </c>
      <c r="R24" s="4">
        <v>0</v>
      </c>
      <c r="S24" s="7">
        <v>0</v>
      </c>
      <c r="T24" s="4">
        <v>0</v>
      </c>
      <c r="U24" s="7">
        <v>0</v>
      </c>
      <c r="V24" s="4">
        <v>0</v>
      </c>
      <c r="W24" s="7">
        <v>0</v>
      </c>
      <c r="X24" s="4">
        <v>0</v>
      </c>
      <c r="Y24" s="7">
        <v>0</v>
      </c>
      <c r="Z24" s="4">
        <v>0</v>
      </c>
      <c r="AA24" s="7">
        <f t="shared" si="14"/>
        <v>0</v>
      </c>
      <c r="AB24" s="4">
        <f t="shared" si="12"/>
        <v>285</v>
      </c>
      <c r="AC24" s="26">
        <f t="shared" si="7"/>
        <v>-285</v>
      </c>
      <c r="AD24" s="30"/>
    </row>
    <row r="25" spans="1:30" ht="15.75" thickBot="1">
      <c r="A25" s="44" t="s">
        <v>21</v>
      </c>
      <c r="B25" s="45"/>
      <c r="C25" s="7">
        <v>0</v>
      </c>
      <c r="D25" s="4">
        <v>0</v>
      </c>
      <c r="E25" s="7">
        <v>0</v>
      </c>
      <c r="F25" s="4">
        <v>0</v>
      </c>
      <c r="G25" s="7">
        <v>0</v>
      </c>
      <c r="H25" s="4">
        <v>0</v>
      </c>
      <c r="I25" s="7">
        <v>0</v>
      </c>
      <c r="J25" s="4">
        <v>0</v>
      </c>
      <c r="K25" s="7">
        <v>0</v>
      </c>
      <c r="L25" s="4">
        <v>0</v>
      </c>
      <c r="M25" s="7">
        <v>0</v>
      </c>
      <c r="N25" s="4">
        <v>0</v>
      </c>
      <c r="O25" s="7">
        <v>0</v>
      </c>
      <c r="P25" s="4">
        <v>0</v>
      </c>
      <c r="Q25" s="7">
        <v>0</v>
      </c>
      <c r="R25" s="4">
        <v>0</v>
      </c>
      <c r="S25" s="8">
        <v>660</v>
      </c>
      <c r="T25" s="4">
        <v>0</v>
      </c>
      <c r="U25" s="7">
        <v>0</v>
      </c>
      <c r="V25" s="4">
        <v>0</v>
      </c>
      <c r="W25" s="7">
        <v>0</v>
      </c>
      <c r="X25" s="4">
        <v>0</v>
      </c>
      <c r="Y25" s="7">
        <v>0</v>
      </c>
      <c r="Z25" s="4">
        <v>0</v>
      </c>
      <c r="AA25" s="7">
        <f t="shared" si="14"/>
        <v>660</v>
      </c>
      <c r="AB25" s="4">
        <f t="shared" si="12"/>
        <v>0</v>
      </c>
      <c r="AC25" s="26">
        <f t="shared" si="7"/>
        <v>660</v>
      </c>
      <c r="AD25" s="36"/>
    </row>
    <row r="26" spans="1:30">
      <c r="A26" s="22">
        <v>6623.17</v>
      </c>
      <c r="B26" s="21" t="s">
        <v>25</v>
      </c>
      <c r="C26" s="12">
        <f>SUM(C27:C29)</f>
        <v>0</v>
      </c>
      <c r="D26" s="13">
        <f t="shared" ref="D26:Z26" si="15">SUM(D27:D29)</f>
        <v>0</v>
      </c>
      <c r="E26" s="12">
        <f t="shared" si="15"/>
        <v>0</v>
      </c>
      <c r="F26" s="13">
        <f t="shared" si="15"/>
        <v>0</v>
      </c>
      <c r="G26" s="12">
        <f t="shared" si="15"/>
        <v>0</v>
      </c>
      <c r="H26" s="13">
        <f t="shared" si="15"/>
        <v>0</v>
      </c>
      <c r="I26" s="12">
        <f t="shared" si="15"/>
        <v>90</v>
      </c>
      <c r="J26" s="13">
        <f t="shared" si="15"/>
        <v>0</v>
      </c>
      <c r="K26" s="12">
        <f t="shared" si="15"/>
        <v>0</v>
      </c>
      <c r="L26" s="13">
        <f t="shared" si="15"/>
        <v>0</v>
      </c>
      <c r="M26" s="12">
        <f t="shared" si="15"/>
        <v>0</v>
      </c>
      <c r="N26" s="13">
        <f t="shared" si="15"/>
        <v>0</v>
      </c>
      <c r="O26" s="12">
        <f t="shared" si="15"/>
        <v>0</v>
      </c>
      <c r="P26" s="13">
        <f t="shared" si="15"/>
        <v>0</v>
      </c>
      <c r="Q26" s="12">
        <f t="shared" si="15"/>
        <v>0</v>
      </c>
      <c r="R26" s="13">
        <f t="shared" si="15"/>
        <v>0</v>
      </c>
      <c r="S26" s="12">
        <f t="shared" si="15"/>
        <v>150</v>
      </c>
      <c r="T26" s="13">
        <f t="shared" si="15"/>
        <v>0</v>
      </c>
      <c r="U26" s="12">
        <f t="shared" si="15"/>
        <v>0</v>
      </c>
      <c r="V26" s="13">
        <f t="shared" si="15"/>
        <v>0</v>
      </c>
      <c r="W26" s="12">
        <f t="shared" si="15"/>
        <v>0</v>
      </c>
      <c r="X26" s="13">
        <f t="shared" si="15"/>
        <v>0</v>
      </c>
      <c r="Y26" s="12">
        <f t="shared" si="15"/>
        <v>0</v>
      </c>
      <c r="Z26" s="13">
        <f t="shared" si="15"/>
        <v>0</v>
      </c>
      <c r="AA26" s="17">
        <f t="shared" si="14"/>
        <v>240</v>
      </c>
      <c r="AB26" s="18">
        <f t="shared" si="12"/>
        <v>0</v>
      </c>
      <c r="AC26" s="25">
        <f t="shared" si="7"/>
        <v>240</v>
      </c>
      <c r="AD26" s="32">
        <f t="shared" si="9"/>
        <v>1</v>
      </c>
    </row>
    <row r="27" spans="1:30">
      <c r="A27" s="50" t="s">
        <v>26</v>
      </c>
      <c r="B27" s="51"/>
      <c r="C27" s="7">
        <v>0</v>
      </c>
      <c r="D27" s="4">
        <v>0</v>
      </c>
      <c r="E27" s="7">
        <v>0</v>
      </c>
      <c r="F27" s="4">
        <v>0</v>
      </c>
      <c r="G27" s="7">
        <v>0</v>
      </c>
      <c r="H27" s="4">
        <v>0</v>
      </c>
      <c r="I27" s="7">
        <v>90</v>
      </c>
      <c r="J27" s="4">
        <v>0</v>
      </c>
      <c r="K27" s="7">
        <v>0</v>
      </c>
      <c r="L27" s="4">
        <v>0</v>
      </c>
      <c r="M27" s="7">
        <v>0</v>
      </c>
      <c r="N27" s="4">
        <v>0</v>
      </c>
      <c r="O27" s="7">
        <v>0</v>
      </c>
      <c r="P27" s="4">
        <v>0</v>
      </c>
      <c r="Q27" s="7">
        <v>0</v>
      </c>
      <c r="R27" s="4">
        <v>0</v>
      </c>
      <c r="S27" s="7">
        <v>150</v>
      </c>
      <c r="T27" s="4">
        <v>0</v>
      </c>
      <c r="U27" s="7">
        <v>0</v>
      </c>
      <c r="V27" s="4">
        <v>0</v>
      </c>
      <c r="W27" s="7">
        <v>0</v>
      </c>
      <c r="X27" s="4">
        <v>0</v>
      </c>
      <c r="Y27" s="7">
        <v>0</v>
      </c>
      <c r="Z27" s="4">
        <v>0</v>
      </c>
      <c r="AA27" s="7">
        <f t="shared" si="14"/>
        <v>240</v>
      </c>
      <c r="AB27" s="4">
        <f t="shared" si="12"/>
        <v>0</v>
      </c>
      <c r="AC27" s="26">
        <f t="shared" si="7"/>
        <v>240</v>
      </c>
      <c r="AD27" s="30"/>
    </row>
    <row r="28" spans="1:30">
      <c r="A28" s="52" t="s">
        <v>20</v>
      </c>
      <c r="B28" s="53"/>
      <c r="C28" s="7">
        <v>0</v>
      </c>
      <c r="D28" s="4">
        <v>0</v>
      </c>
      <c r="E28" s="7">
        <v>0</v>
      </c>
      <c r="F28" s="4">
        <v>0</v>
      </c>
      <c r="G28" s="7">
        <v>0</v>
      </c>
      <c r="H28" s="4">
        <v>0</v>
      </c>
      <c r="I28" s="7">
        <v>0</v>
      </c>
      <c r="J28" s="4">
        <v>0</v>
      </c>
      <c r="K28" s="7">
        <v>0</v>
      </c>
      <c r="L28" s="4">
        <v>0</v>
      </c>
      <c r="M28" s="7">
        <v>0</v>
      </c>
      <c r="N28" s="4">
        <v>0</v>
      </c>
      <c r="O28" s="7">
        <v>0</v>
      </c>
      <c r="P28" s="4">
        <v>0</v>
      </c>
      <c r="Q28" s="7">
        <v>0</v>
      </c>
      <c r="R28" s="4">
        <v>0</v>
      </c>
      <c r="S28" s="7">
        <v>0</v>
      </c>
      <c r="T28" s="4">
        <v>0</v>
      </c>
      <c r="U28" s="7">
        <v>0</v>
      </c>
      <c r="V28" s="4">
        <v>0</v>
      </c>
      <c r="W28" s="7">
        <v>0</v>
      </c>
      <c r="X28" s="4">
        <v>0</v>
      </c>
      <c r="Y28" s="7">
        <v>0</v>
      </c>
      <c r="Z28" s="4">
        <v>0</v>
      </c>
      <c r="AA28" s="7">
        <f t="shared" si="14"/>
        <v>0</v>
      </c>
      <c r="AB28" s="4">
        <f t="shared" si="12"/>
        <v>0</v>
      </c>
      <c r="AC28" s="26">
        <f t="shared" si="7"/>
        <v>0</v>
      </c>
      <c r="AD28" s="30"/>
    </row>
    <row r="29" spans="1:30" ht="15.75" thickBot="1">
      <c r="A29" s="44" t="s">
        <v>27</v>
      </c>
      <c r="B29" s="45"/>
      <c r="C29" s="7">
        <v>0</v>
      </c>
      <c r="D29" s="4">
        <v>0</v>
      </c>
      <c r="E29" s="7">
        <v>0</v>
      </c>
      <c r="F29" s="4">
        <v>0</v>
      </c>
      <c r="G29" s="7">
        <v>0</v>
      </c>
      <c r="H29" s="4">
        <v>0</v>
      </c>
      <c r="I29" s="7">
        <v>0</v>
      </c>
      <c r="J29" s="4">
        <v>0</v>
      </c>
      <c r="K29" s="7">
        <v>0</v>
      </c>
      <c r="L29" s="4">
        <v>0</v>
      </c>
      <c r="M29" s="7">
        <v>0</v>
      </c>
      <c r="N29" s="4">
        <v>0</v>
      </c>
      <c r="O29" s="7">
        <v>0</v>
      </c>
      <c r="P29" s="4">
        <v>0</v>
      </c>
      <c r="Q29" s="7">
        <v>0</v>
      </c>
      <c r="R29" s="4">
        <v>0</v>
      </c>
      <c r="S29" s="7">
        <v>0</v>
      </c>
      <c r="T29" s="4">
        <v>0</v>
      </c>
      <c r="U29" s="7">
        <v>0</v>
      </c>
      <c r="V29" s="4">
        <v>0</v>
      </c>
      <c r="W29" s="7">
        <v>0</v>
      </c>
      <c r="X29" s="4">
        <v>0</v>
      </c>
      <c r="Y29" s="7">
        <v>0</v>
      </c>
      <c r="Z29" s="4">
        <v>0</v>
      </c>
      <c r="AA29" s="7">
        <f t="shared" si="14"/>
        <v>0</v>
      </c>
      <c r="AB29" s="4">
        <f t="shared" si="12"/>
        <v>0</v>
      </c>
      <c r="AC29" s="26">
        <f t="shared" si="7"/>
        <v>0</v>
      </c>
      <c r="AD29" s="37" t="str">
        <f t="shared" si="9"/>
        <v/>
      </c>
    </row>
    <row r="30" spans="1:30">
      <c r="A30" s="22">
        <v>6623.18</v>
      </c>
      <c r="B30" s="21" t="s">
        <v>28</v>
      </c>
      <c r="C30" s="12">
        <f>SUM(C31)</f>
        <v>75</v>
      </c>
      <c r="D30" s="13">
        <f t="shared" ref="D30:Z30" si="16">SUM(D31)</f>
        <v>0</v>
      </c>
      <c r="E30" s="12">
        <f t="shared" si="16"/>
        <v>75</v>
      </c>
      <c r="F30" s="13">
        <v>84</v>
      </c>
      <c r="G30" s="12">
        <f t="shared" si="16"/>
        <v>75</v>
      </c>
      <c r="H30" s="13">
        <v>85</v>
      </c>
      <c r="I30" s="12">
        <f t="shared" si="16"/>
        <v>75</v>
      </c>
      <c r="J30" s="13">
        <v>212</v>
      </c>
      <c r="K30" s="12">
        <f t="shared" si="16"/>
        <v>75</v>
      </c>
      <c r="L30" s="13">
        <v>21</v>
      </c>
      <c r="M30" s="12">
        <f t="shared" si="16"/>
        <v>75</v>
      </c>
      <c r="N30" s="13">
        <v>100</v>
      </c>
      <c r="O30" s="12">
        <f t="shared" si="16"/>
        <v>100</v>
      </c>
      <c r="P30" s="13">
        <f t="shared" si="16"/>
        <v>76.239999999999995</v>
      </c>
      <c r="Q30" s="12">
        <f t="shared" si="16"/>
        <v>100</v>
      </c>
      <c r="R30" s="13">
        <f t="shared" si="16"/>
        <v>211.16</v>
      </c>
      <c r="S30" s="12">
        <f t="shared" si="16"/>
        <v>100</v>
      </c>
      <c r="T30" s="13">
        <f t="shared" si="16"/>
        <v>0</v>
      </c>
      <c r="U30" s="12">
        <f t="shared" si="16"/>
        <v>100</v>
      </c>
      <c r="V30" s="13">
        <f t="shared" si="16"/>
        <v>0</v>
      </c>
      <c r="W30" s="12">
        <f t="shared" si="16"/>
        <v>100</v>
      </c>
      <c r="X30" s="13">
        <f t="shared" si="16"/>
        <v>0</v>
      </c>
      <c r="Y30" s="12">
        <f t="shared" si="16"/>
        <v>100</v>
      </c>
      <c r="Z30" s="13">
        <f t="shared" si="16"/>
        <v>0</v>
      </c>
      <c r="AA30" s="17">
        <f t="shared" si="14"/>
        <v>1050</v>
      </c>
      <c r="AB30" s="18">
        <f t="shared" si="12"/>
        <v>789.4</v>
      </c>
      <c r="AC30" s="25">
        <f t="shared" si="7"/>
        <v>260.60000000000002</v>
      </c>
      <c r="AD30" s="32">
        <f t="shared" si="9"/>
        <v>0.24819047619047621</v>
      </c>
    </row>
    <row r="31" spans="1:30" ht="15.75" thickBot="1">
      <c r="A31" s="46" t="s">
        <v>29</v>
      </c>
      <c r="B31" s="47"/>
      <c r="C31" s="8">
        <v>75</v>
      </c>
      <c r="D31" s="5">
        <v>0</v>
      </c>
      <c r="E31" s="8">
        <v>75</v>
      </c>
      <c r="F31" s="10">
        <v>84</v>
      </c>
      <c r="G31" s="11">
        <v>75</v>
      </c>
      <c r="H31" s="10">
        <v>85</v>
      </c>
      <c r="I31" s="11">
        <v>75</v>
      </c>
      <c r="J31" s="10">
        <v>212</v>
      </c>
      <c r="K31" s="11">
        <v>75</v>
      </c>
      <c r="L31" s="10">
        <v>21.37</v>
      </c>
      <c r="M31" s="11">
        <v>75</v>
      </c>
      <c r="N31" s="10">
        <v>100</v>
      </c>
      <c r="O31" s="11">
        <v>100</v>
      </c>
      <c r="P31" s="10">
        <v>76.239999999999995</v>
      </c>
      <c r="Q31" s="11">
        <v>100</v>
      </c>
      <c r="R31" s="10">
        <v>211.16</v>
      </c>
      <c r="S31" s="11">
        <v>100</v>
      </c>
      <c r="T31" s="10">
        <v>0</v>
      </c>
      <c r="U31" s="11">
        <v>100</v>
      </c>
      <c r="V31" s="10">
        <v>0</v>
      </c>
      <c r="W31" s="11">
        <v>100</v>
      </c>
      <c r="X31" s="10">
        <v>0</v>
      </c>
      <c r="Y31" s="11">
        <v>100</v>
      </c>
      <c r="Z31" s="10">
        <v>0</v>
      </c>
      <c r="AA31" s="7">
        <f t="shared" si="14"/>
        <v>1050</v>
      </c>
      <c r="AB31" s="4">
        <f t="shared" si="12"/>
        <v>789.77</v>
      </c>
      <c r="AC31" s="26">
        <f t="shared" si="7"/>
        <v>260.23</v>
      </c>
      <c r="AD31" s="36"/>
    </row>
    <row r="32" spans="1:30">
      <c r="A32" s="22">
        <v>6623.19</v>
      </c>
      <c r="B32" s="21" t="s">
        <v>30</v>
      </c>
      <c r="C32" s="12">
        <f>SUM(C33)</f>
        <v>0</v>
      </c>
      <c r="D32" s="13">
        <v>0</v>
      </c>
      <c r="E32" s="12">
        <f t="shared" ref="E32:Y32" si="17">SUM(E33)</f>
        <v>0</v>
      </c>
      <c r="F32" s="14">
        <v>0</v>
      </c>
      <c r="G32" s="12">
        <f t="shared" si="17"/>
        <v>0</v>
      </c>
      <c r="H32" s="14">
        <v>0</v>
      </c>
      <c r="I32" s="12">
        <f t="shared" si="17"/>
        <v>0</v>
      </c>
      <c r="J32" s="14">
        <v>0</v>
      </c>
      <c r="K32" s="12">
        <f t="shared" si="17"/>
        <v>185</v>
      </c>
      <c r="L32" s="14">
        <v>191</v>
      </c>
      <c r="M32" s="12">
        <f t="shared" si="17"/>
        <v>0</v>
      </c>
      <c r="N32" s="14">
        <v>0</v>
      </c>
      <c r="O32" s="12">
        <f t="shared" si="17"/>
        <v>0</v>
      </c>
      <c r="P32" s="14">
        <v>0</v>
      </c>
      <c r="Q32" s="12">
        <f t="shared" si="17"/>
        <v>0</v>
      </c>
      <c r="R32" s="14">
        <v>0</v>
      </c>
      <c r="S32" s="12">
        <f t="shared" si="17"/>
        <v>0</v>
      </c>
      <c r="T32" s="14">
        <v>0</v>
      </c>
      <c r="U32" s="12">
        <f t="shared" si="17"/>
        <v>0</v>
      </c>
      <c r="V32" s="14">
        <v>0</v>
      </c>
      <c r="W32" s="12">
        <f t="shared" si="17"/>
        <v>0</v>
      </c>
      <c r="X32" s="14">
        <v>0</v>
      </c>
      <c r="Y32" s="12">
        <f t="shared" si="17"/>
        <v>0</v>
      </c>
      <c r="Z32" s="14">
        <v>0</v>
      </c>
      <c r="AA32" s="17">
        <f t="shared" si="14"/>
        <v>185</v>
      </c>
      <c r="AB32" s="18">
        <f t="shared" si="12"/>
        <v>191</v>
      </c>
      <c r="AC32" s="25">
        <f t="shared" si="7"/>
        <v>-6</v>
      </c>
      <c r="AD32" s="32">
        <f t="shared" si="9"/>
        <v>-3.2432432432432434E-2</v>
      </c>
    </row>
    <row r="33" spans="1:30" ht="15.75" thickBot="1">
      <c r="A33" s="46" t="s">
        <v>31</v>
      </c>
      <c r="B33" s="47"/>
      <c r="C33" s="7">
        <v>0</v>
      </c>
      <c r="D33" s="4">
        <v>0</v>
      </c>
      <c r="E33" s="7">
        <v>0</v>
      </c>
      <c r="F33" s="4">
        <v>0</v>
      </c>
      <c r="G33" s="7">
        <v>0</v>
      </c>
      <c r="H33" s="4">
        <v>0</v>
      </c>
      <c r="I33" s="7">
        <v>0</v>
      </c>
      <c r="J33" s="4">
        <v>0</v>
      </c>
      <c r="K33" s="8">
        <v>185</v>
      </c>
      <c r="L33" s="4">
        <v>191</v>
      </c>
      <c r="M33" s="7">
        <v>0</v>
      </c>
      <c r="N33" s="4">
        <v>0</v>
      </c>
      <c r="O33" s="7">
        <v>0</v>
      </c>
      <c r="P33" s="4">
        <v>0</v>
      </c>
      <c r="Q33" s="7">
        <v>0</v>
      </c>
      <c r="R33" s="4">
        <v>0</v>
      </c>
      <c r="S33" s="7">
        <v>0</v>
      </c>
      <c r="T33" s="4">
        <v>0</v>
      </c>
      <c r="U33" s="7">
        <v>0</v>
      </c>
      <c r="V33" s="4">
        <v>0</v>
      </c>
      <c r="W33" s="7">
        <v>0</v>
      </c>
      <c r="X33" s="4">
        <v>0</v>
      </c>
      <c r="Y33" s="7">
        <v>0</v>
      </c>
      <c r="Z33" s="4">
        <v>0</v>
      </c>
      <c r="AA33" s="7">
        <f t="shared" si="14"/>
        <v>185</v>
      </c>
      <c r="AB33" s="4">
        <f t="shared" si="12"/>
        <v>191</v>
      </c>
      <c r="AC33" s="26">
        <f t="shared" si="7"/>
        <v>-6</v>
      </c>
      <c r="AD33" s="36"/>
    </row>
    <row r="34" spans="1:30">
      <c r="A34" s="22">
        <v>6623.22</v>
      </c>
      <c r="B34" s="21" t="s">
        <v>32</v>
      </c>
      <c r="C34" s="12">
        <f>SUM(C35:C38)</f>
        <v>0</v>
      </c>
      <c r="D34" s="13">
        <f t="shared" ref="D34:Z34" si="18">SUM(D35:D38)</f>
        <v>0</v>
      </c>
      <c r="E34" s="12">
        <f t="shared" si="18"/>
        <v>0</v>
      </c>
      <c r="F34" s="13">
        <v>0</v>
      </c>
      <c r="G34" s="12">
        <f t="shared" si="18"/>
        <v>0</v>
      </c>
      <c r="H34" s="13">
        <v>625</v>
      </c>
      <c r="I34" s="12">
        <f t="shared" si="18"/>
        <v>1950</v>
      </c>
      <c r="J34" s="13">
        <v>1235</v>
      </c>
      <c r="K34" s="12">
        <f t="shared" si="18"/>
        <v>0</v>
      </c>
      <c r="L34" s="13">
        <v>0</v>
      </c>
      <c r="M34" s="12">
        <f t="shared" si="18"/>
        <v>0</v>
      </c>
      <c r="N34" s="13">
        <f t="shared" si="18"/>
        <v>0</v>
      </c>
      <c r="O34" s="12">
        <f t="shared" si="18"/>
        <v>0</v>
      </c>
      <c r="P34" s="13">
        <f t="shared" si="18"/>
        <v>0</v>
      </c>
      <c r="Q34" s="12">
        <f t="shared" si="18"/>
        <v>0</v>
      </c>
      <c r="R34" s="13">
        <f t="shared" si="18"/>
        <v>0</v>
      </c>
      <c r="S34" s="12">
        <f t="shared" si="18"/>
        <v>2945</v>
      </c>
      <c r="T34" s="13">
        <f t="shared" si="18"/>
        <v>0</v>
      </c>
      <c r="U34" s="12">
        <f t="shared" si="18"/>
        <v>0</v>
      </c>
      <c r="V34" s="13">
        <f t="shared" si="18"/>
        <v>0</v>
      </c>
      <c r="W34" s="12">
        <f t="shared" si="18"/>
        <v>0</v>
      </c>
      <c r="X34" s="13">
        <f t="shared" si="18"/>
        <v>0</v>
      </c>
      <c r="Y34" s="12">
        <f t="shared" si="18"/>
        <v>0</v>
      </c>
      <c r="Z34" s="13">
        <f t="shared" si="18"/>
        <v>0</v>
      </c>
      <c r="AA34" s="17">
        <f t="shared" si="14"/>
        <v>4895</v>
      </c>
      <c r="AB34" s="18">
        <f t="shared" si="12"/>
        <v>1860</v>
      </c>
      <c r="AC34" s="25">
        <f t="shared" si="7"/>
        <v>3035</v>
      </c>
      <c r="AD34" s="32">
        <f t="shared" si="9"/>
        <v>0.62002042900919307</v>
      </c>
    </row>
    <row r="35" spans="1:30">
      <c r="A35" s="50" t="s">
        <v>33</v>
      </c>
      <c r="B35" s="51"/>
      <c r="C35" s="7">
        <v>0</v>
      </c>
      <c r="D35" s="4">
        <v>0</v>
      </c>
      <c r="E35" s="7">
        <v>0</v>
      </c>
      <c r="F35" s="4">
        <v>0</v>
      </c>
      <c r="G35" s="7">
        <v>0</v>
      </c>
      <c r="H35" s="4">
        <v>0</v>
      </c>
      <c r="I35" s="7">
        <v>1950</v>
      </c>
      <c r="J35" s="4">
        <v>0</v>
      </c>
      <c r="K35" s="7">
        <v>0</v>
      </c>
      <c r="L35" s="4">
        <v>0</v>
      </c>
      <c r="M35" s="7">
        <v>0</v>
      </c>
      <c r="N35" s="4">
        <v>0</v>
      </c>
      <c r="O35" s="7">
        <v>0</v>
      </c>
      <c r="P35" s="4">
        <v>0</v>
      </c>
      <c r="Q35" s="7">
        <v>0</v>
      </c>
      <c r="R35" s="4">
        <v>0</v>
      </c>
      <c r="S35" s="7">
        <v>0</v>
      </c>
      <c r="T35" s="4">
        <v>0</v>
      </c>
      <c r="U35" s="7">
        <v>0</v>
      </c>
      <c r="V35" s="4">
        <v>0</v>
      </c>
      <c r="W35" s="7">
        <v>0</v>
      </c>
      <c r="X35" s="4">
        <v>0</v>
      </c>
      <c r="Y35" s="7">
        <v>0</v>
      </c>
      <c r="Z35" s="4">
        <v>0</v>
      </c>
      <c r="AA35" s="7">
        <f t="shared" si="14"/>
        <v>1950</v>
      </c>
      <c r="AB35" s="4">
        <f t="shared" si="12"/>
        <v>0</v>
      </c>
      <c r="AC35" s="26">
        <f t="shared" si="7"/>
        <v>1950</v>
      </c>
      <c r="AD35" s="30"/>
    </row>
    <row r="36" spans="1:30">
      <c r="A36" s="52" t="s">
        <v>20</v>
      </c>
      <c r="B36" s="53"/>
      <c r="C36" s="7">
        <v>0</v>
      </c>
      <c r="D36" s="4">
        <v>0</v>
      </c>
      <c r="E36" s="7">
        <v>0</v>
      </c>
      <c r="F36" s="4">
        <v>0</v>
      </c>
      <c r="G36" s="7">
        <v>0</v>
      </c>
      <c r="H36" s="4">
        <v>625</v>
      </c>
      <c r="I36" s="7">
        <v>0</v>
      </c>
      <c r="J36" s="4">
        <v>0</v>
      </c>
      <c r="K36" s="7">
        <v>0</v>
      </c>
      <c r="L36" s="4">
        <v>0</v>
      </c>
      <c r="M36" s="7">
        <v>0</v>
      </c>
      <c r="N36" s="4">
        <v>0</v>
      </c>
      <c r="O36" s="7">
        <v>0</v>
      </c>
      <c r="P36" s="4">
        <v>0</v>
      </c>
      <c r="Q36" s="7">
        <v>0</v>
      </c>
      <c r="R36" s="4">
        <v>0</v>
      </c>
      <c r="S36" s="7">
        <v>0</v>
      </c>
      <c r="T36" s="4">
        <v>0</v>
      </c>
      <c r="U36" s="7">
        <v>0</v>
      </c>
      <c r="V36" s="4">
        <v>0</v>
      </c>
      <c r="W36" s="7">
        <v>0</v>
      </c>
      <c r="X36" s="4">
        <v>0</v>
      </c>
      <c r="Y36" s="7">
        <v>0</v>
      </c>
      <c r="Z36" s="4">
        <v>0</v>
      </c>
      <c r="AA36" s="7">
        <f t="shared" si="14"/>
        <v>0</v>
      </c>
      <c r="AB36" s="4">
        <f t="shared" si="12"/>
        <v>625</v>
      </c>
      <c r="AC36" s="26">
        <f t="shared" si="7"/>
        <v>-625</v>
      </c>
      <c r="AD36" s="30"/>
    </row>
    <row r="37" spans="1:30">
      <c r="A37" s="42"/>
      <c r="B37" s="43" t="s">
        <v>22</v>
      </c>
      <c r="C37" s="7">
        <v>0</v>
      </c>
      <c r="D37" s="4">
        <v>0</v>
      </c>
      <c r="E37" s="7">
        <v>0</v>
      </c>
      <c r="F37" s="4">
        <v>0</v>
      </c>
      <c r="G37" s="7">
        <v>0</v>
      </c>
      <c r="H37" s="4">
        <v>0</v>
      </c>
      <c r="I37" s="7">
        <v>0</v>
      </c>
      <c r="J37" s="4">
        <v>0</v>
      </c>
      <c r="K37" s="7">
        <v>0</v>
      </c>
      <c r="L37" s="4">
        <v>0</v>
      </c>
      <c r="M37" s="7">
        <v>0</v>
      </c>
      <c r="N37" s="4">
        <v>0</v>
      </c>
      <c r="O37" s="7">
        <v>0</v>
      </c>
      <c r="P37" s="4">
        <v>0</v>
      </c>
      <c r="Q37" s="7">
        <v>0</v>
      </c>
      <c r="R37" s="4">
        <v>0</v>
      </c>
      <c r="S37" s="7">
        <v>1395</v>
      </c>
      <c r="T37" s="4">
        <v>0</v>
      </c>
      <c r="U37" s="7">
        <v>0</v>
      </c>
      <c r="V37" s="4">
        <v>0</v>
      </c>
      <c r="W37" s="7">
        <v>0</v>
      </c>
      <c r="X37" s="4">
        <v>0</v>
      </c>
      <c r="Y37" s="7">
        <v>0</v>
      </c>
      <c r="Z37" s="4">
        <v>0</v>
      </c>
      <c r="AA37" s="7">
        <f t="shared" ref="AA37" si="19">SUM(C37,E37,G37,I37,K37,M37,O37,Q37,S37,U37,W37,Y37)</f>
        <v>1395</v>
      </c>
      <c r="AB37" s="4">
        <f t="shared" ref="AB37" si="20">SUM(D37,F37,H37,J37,L37,N37,P37,R37,T37,V37,X37,Z37)</f>
        <v>0</v>
      </c>
      <c r="AC37" s="26">
        <f t="shared" si="7"/>
        <v>1395</v>
      </c>
      <c r="AD37" s="38"/>
    </row>
    <row r="38" spans="1:30" ht="15.75" thickBot="1">
      <c r="A38" s="44" t="s">
        <v>34</v>
      </c>
      <c r="B38" s="45"/>
      <c r="C38" s="7">
        <v>0</v>
      </c>
      <c r="D38" s="4">
        <v>0</v>
      </c>
      <c r="E38" s="7">
        <v>0</v>
      </c>
      <c r="F38" s="4">
        <v>0</v>
      </c>
      <c r="G38" s="7">
        <v>0</v>
      </c>
      <c r="H38" s="4">
        <v>0</v>
      </c>
      <c r="I38" s="7">
        <v>0</v>
      </c>
      <c r="J38" s="4">
        <v>1235</v>
      </c>
      <c r="K38" s="7">
        <v>0</v>
      </c>
      <c r="L38" s="4">
        <v>0</v>
      </c>
      <c r="M38" s="7">
        <v>0</v>
      </c>
      <c r="N38" s="4">
        <v>0</v>
      </c>
      <c r="O38" s="7">
        <v>0</v>
      </c>
      <c r="P38" s="4">
        <v>0</v>
      </c>
      <c r="Q38" s="7">
        <v>0</v>
      </c>
      <c r="R38" s="4">
        <v>0</v>
      </c>
      <c r="S38" s="8">
        <v>1550</v>
      </c>
      <c r="T38" s="4">
        <v>0</v>
      </c>
      <c r="U38" s="7">
        <v>0</v>
      </c>
      <c r="V38" s="4">
        <v>0</v>
      </c>
      <c r="W38" s="7">
        <v>0</v>
      </c>
      <c r="X38" s="4">
        <v>0</v>
      </c>
      <c r="Y38" s="7">
        <v>0</v>
      </c>
      <c r="Z38" s="4">
        <v>0</v>
      </c>
      <c r="AA38" s="7">
        <f t="shared" si="14"/>
        <v>1550</v>
      </c>
      <c r="AB38" s="4">
        <f t="shared" si="12"/>
        <v>1235</v>
      </c>
      <c r="AC38" s="26">
        <f t="shared" si="7"/>
        <v>315</v>
      </c>
      <c r="AD38" s="36"/>
    </row>
    <row r="39" spans="1:30">
      <c r="A39" s="22">
        <v>6623.34</v>
      </c>
      <c r="B39" s="21" t="s">
        <v>35</v>
      </c>
      <c r="C39" s="12">
        <f>SUM(C40)</f>
        <v>35</v>
      </c>
      <c r="D39" s="13">
        <f t="shared" ref="D39:Z39" si="21">SUM(D40)</f>
        <v>0</v>
      </c>
      <c r="E39" s="12">
        <f t="shared" si="21"/>
        <v>35</v>
      </c>
      <c r="F39" s="13">
        <v>11</v>
      </c>
      <c r="G39" s="12">
        <f t="shared" si="21"/>
        <v>35</v>
      </c>
      <c r="H39" s="13">
        <f t="shared" si="21"/>
        <v>0</v>
      </c>
      <c r="I39" s="12">
        <f t="shared" si="21"/>
        <v>35</v>
      </c>
      <c r="J39" s="13">
        <f t="shared" si="21"/>
        <v>0</v>
      </c>
      <c r="K39" s="12">
        <f t="shared" si="21"/>
        <v>35</v>
      </c>
      <c r="L39" s="13">
        <v>272</v>
      </c>
      <c r="M39" s="12">
        <f t="shared" si="21"/>
        <v>35</v>
      </c>
      <c r="N39" s="13">
        <f t="shared" si="21"/>
        <v>0</v>
      </c>
      <c r="O39" s="12">
        <f t="shared" si="21"/>
        <v>35</v>
      </c>
      <c r="P39" s="13">
        <f t="shared" si="21"/>
        <v>38.94</v>
      </c>
      <c r="Q39" s="12">
        <f t="shared" si="21"/>
        <v>35</v>
      </c>
      <c r="R39" s="13">
        <f t="shared" si="21"/>
        <v>40.020000000000003</v>
      </c>
      <c r="S39" s="12">
        <f t="shared" si="21"/>
        <v>35</v>
      </c>
      <c r="T39" s="13">
        <f t="shared" si="21"/>
        <v>0</v>
      </c>
      <c r="U39" s="12">
        <f t="shared" si="21"/>
        <v>35</v>
      </c>
      <c r="V39" s="13">
        <f t="shared" si="21"/>
        <v>0</v>
      </c>
      <c r="W39" s="12">
        <f t="shared" si="21"/>
        <v>35</v>
      </c>
      <c r="X39" s="13">
        <f t="shared" si="21"/>
        <v>0</v>
      </c>
      <c r="Y39" s="12">
        <f t="shared" si="21"/>
        <v>35</v>
      </c>
      <c r="Z39" s="13">
        <f t="shared" si="21"/>
        <v>0</v>
      </c>
      <c r="AA39" s="17">
        <f t="shared" si="14"/>
        <v>420</v>
      </c>
      <c r="AB39" s="18">
        <f t="shared" si="12"/>
        <v>361.96</v>
      </c>
      <c r="AC39" s="25">
        <f t="shared" si="7"/>
        <v>58.04000000000002</v>
      </c>
      <c r="AD39" s="32">
        <f t="shared" si="9"/>
        <v>0.13819047619047625</v>
      </c>
    </row>
    <row r="40" spans="1:30" ht="15.75" thickBot="1">
      <c r="A40" s="46" t="s">
        <v>36</v>
      </c>
      <c r="B40" s="47"/>
      <c r="C40" s="8">
        <v>35</v>
      </c>
      <c r="D40" s="5">
        <v>0</v>
      </c>
      <c r="E40" s="8">
        <v>35</v>
      </c>
      <c r="F40" s="4">
        <v>10.66</v>
      </c>
      <c r="G40" s="8">
        <v>35</v>
      </c>
      <c r="H40" s="4">
        <v>0</v>
      </c>
      <c r="I40" s="8">
        <v>35</v>
      </c>
      <c r="J40" s="4">
        <v>0</v>
      </c>
      <c r="K40" s="8">
        <v>35</v>
      </c>
      <c r="L40" s="4">
        <v>272</v>
      </c>
      <c r="M40" s="8">
        <v>35</v>
      </c>
      <c r="N40" s="4">
        <v>0</v>
      </c>
      <c r="O40" s="8">
        <v>35</v>
      </c>
      <c r="P40" s="4">
        <v>38.94</v>
      </c>
      <c r="Q40" s="8">
        <v>35</v>
      </c>
      <c r="R40" s="4">
        <v>40.020000000000003</v>
      </c>
      <c r="S40" s="8">
        <v>35</v>
      </c>
      <c r="T40" s="4">
        <v>0</v>
      </c>
      <c r="U40" s="8">
        <v>35</v>
      </c>
      <c r="V40" s="4">
        <v>0</v>
      </c>
      <c r="W40" s="8">
        <v>35</v>
      </c>
      <c r="X40" s="4">
        <v>0</v>
      </c>
      <c r="Y40" s="8">
        <v>35</v>
      </c>
      <c r="Z40" s="4">
        <v>0</v>
      </c>
      <c r="AA40" s="7">
        <f t="shared" si="14"/>
        <v>420</v>
      </c>
      <c r="AB40" s="4">
        <f t="shared" si="12"/>
        <v>361.62</v>
      </c>
      <c r="AC40" s="26">
        <f t="shared" si="7"/>
        <v>58.379999999999995</v>
      </c>
      <c r="AD40" s="36"/>
    </row>
    <row r="41" spans="1:30">
      <c r="A41" s="22">
        <v>6623.36</v>
      </c>
      <c r="B41" s="21" t="s">
        <v>37</v>
      </c>
      <c r="C41" s="12">
        <f>SUM(C42)</f>
        <v>65</v>
      </c>
      <c r="D41" s="13">
        <v>65</v>
      </c>
      <c r="E41" s="12">
        <f t="shared" ref="E41:Z41" si="22">SUM(E42)</f>
        <v>65</v>
      </c>
      <c r="F41" s="13">
        <v>65</v>
      </c>
      <c r="G41" s="12">
        <f t="shared" si="22"/>
        <v>65</v>
      </c>
      <c r="H41" s="13">
        <v>65</v>
      </c>
      <c r="I41" s="12">
        <f t="shared" si="22"/>
        <v>65</v>
      </c>
      <c r="J41" s="13">
        <v>65</v>
      </c>
      <c r="K41" s="12">
        <f t="shared" si="22"/>
        <v>65</v>
      </c>
      <c r="L41" s="13">
        <v>65</v>
      </c>
      <c r="M41" s="12">
        <f t="shared" si="22"/>
        <v>65</v>
      </c>
      <c r="N41" s="13">
        <v>65</v>
      </c>
      <c r="O41" s="12">
        <f t="shared" si="22"/>
        <v>65</v>
      </c>
      <c r="P41" s="13">
        <f t="shared" si="22"/>
        <v>65</v>
      </c>
      <c r="Q41" s="12">
        <f t="shared" si="22"/>
        <v>65</v>
      </c>
      <c r="R41" s="13">
        <f t="shared" si="22"/>
        <v>65</v>
      </c>
      <c r="S41" s="12">
        <f t="shared" si="22"/>
        <v>65</v>
      </c>
      <c r="T41" s="13">
        <f t="shared" si="22"/>
        <v>65</v>
      </c>
      <c r="U41" s="12">
        <f t="shared" si="22"/>
        <v>65</v>
      </c>
      <c r="V41" s="13">
        <f t="shared" si="22"/>
        <v>65</v>
      </c>
      <c r="W41" s="12">
        <f t="shared" si="22"/>
        <v>65</v>
      </c>
      <c r="X41" s="13">
        <f t="shared" si="22"/>
        <v>65</v>
      </c>
      <c r="Y41" s="12">
        <f t="shared" si="22"/>
        <v>65</v>
      </c>
      <c r="Z41" s="13">
        <f t="shared" si="22"/>
        <v>65</v>
      </c>
      <c r="AA41" s="17">
        <f t="shared" si="14"/>
        <v>780</v>
      </c>
      <c r="AB41" s="18">
        <f t="shared" si="12"/>
        <v>780</v>
      </c>
      <c r="AC41" s="25">
        <f t="shared" si="7"/>
        <v>0</v>
      </c>
      <c r="AD41" s="32">
        <f t="shared" si="9"/>
        <v>0</v>
      </c>
    </row>
    <row r="42" spans="1:30" ht="15.75" thickBot="1">
      <c r="A42" s="46" t="s">
        <v>38</v>
      </c>
      <c r="B42" s="47"/>
      <c r="C42" s="8">
        <v>65</v>
      </c>
      <c r="D42" s="5">
        <v>65</v>
      </c>
      <c r="E42" s="8">
        <v>65</v>
      </c>
      <c r="F42" s="5">
        <v>65</v>
      </c>
      <c r="G42" s="8">
        <v>65</v>
      </c>
      <c r="H42" s="5">
        <v>65</v>
      </c>
      <c r="I42" s="8">
        <v>65</v>
      </c>
      <c r="J42" s="5">
        <v>65</v>
      </c>
      <c r="K42" s="8">
        <v>65</v>
      </c>
      <c r="L42" s="5">
        <v>65</v>
      </c>
      <c r="M42" s="8">
        <v>65</v>
      </c>
      <c r="N42" s="5">
        <v>65</v>
      </c>
      <c r="O42" s="8">
        <v>65</v>
      </c>
      <c r="P42" s="5">
        <v>65</v>
      </c>
      <c r="Q42" s="8">
        <v>65</v>
      </c>
      <c r="R42" s="5">
        <v>65</v>
      </c>
      <c r="S42" s="8">
        <v>65</v>
      </c>
      <c r="T42" s="5">
        <v>65</v>
      </c>
      <c r="U42" s="8">
        <v>65</v>
      </c>
      <c r="V42" s="5">
        <v>65</v>
      </c>
      <c r="W42" s="8">
        <v>65</v>
      </c>
      <c r="X42" s="5">
        <v>65</v>
      </c>
      <c r="Y42" s="8">
        <v>65</v>
      </c>
      <c r="Z42" s="5">
        <v>65</v>
      </c>
      <c r="AA42" s="7">
        <f t="shared" si="14"/>
        <v>780</v>
      </c>
      <c r="AB42" s="4">
        <f t="shared" si="12"/>
        <v>780</v>
      </c>
      <c r="AC42" s="26">
        <f t="shared" si="7"/>
        <v>0</v>
      </c>
      <c r="AD42" s="36"/>
    </row>
    <row r="43" spans="1:30">
      <c r="A43" s="22">
        <v>6623.74</v>
      </c>
      <c r="B43" s="21" t="s">
        <v>39</v>
      </c>
      <c r="C43" s="12">
        <f>SUM(C44:C45)</f>
        <v>5475</v>
      </c>
      <c r="D43" s="13">
        <v>1475</v>
      </c>
      <c r="E43" s="12">
        <f t="shared" ref="E43:Z43" si="23">SUM(E44:E45)</f>
        <v>4000</v>
      </c>
      <c r="F43" s="13">
        <v>3900</v>
      </c>
      <c r="G43" s="12">
        <f t="shared" si="23"/>
        <v>4000</v>
      </c>
      <c r="H43" s="13">
        <v>3900</v>
      </c>
      <c r="I43" s="12">
        <f t="shared" si="23"/>
        <v>4000</v>
      </c>
      <c r="J43" s="13">
        <v>3900</v>
      </c>
      <c r="K43" s="12">
        <f t="shared" si="23"/>
        <v>4000</v>
      </c>
      <c r="L43" s="13">
        <v>7800</v>
      </c>
      <c r="M43" s="12">
        <f t="shared" si="23"/>
        <v>4000</v>
      </c>
      <c r="N43" s="13">
        <v>3900</v>
      </c>
      <c r="O43" s="12">
        <f t="shared" si="23"/>
        <v>4000</v>
      </c>
      <c r="P43" s="13">
        <f t="shared" si="23"/>
        <v>3900</v>
      </c>
      <c r="Q43" s="12">
        <f t="shared" si="23"/>
        <v>4000</v>
      </c>
      <c r="R43" s="13">
        <f t="shared" si="23"/>
        <v>3900</v>
      </c>
      <c r="S43" s="12">
        <f t="shared" si="23"/>
        <v>4000</v>
      </c>
      <c r="T43" s="13">
        <f t="shared" si="23"/>
        <v>0</v>
      </c>
      <c r="U43" s="12">
        <f t="shared" si="23"/>
        <v>4000</v>
      </c>
      <c r="V43" s="13">
        <f t="shared" si="23"/>
        <v>0</v>
      </c>
      <c r="W43" s="12">
        <f t="shared" si="23"/>
        <v>4000</v>
      </c>
      <c r="X43" s="13">
        <f t="shared" si="23"/>
        <v>0</v>
      </c>
      <c r="Y43" s="12">
        <f t="shared" si="23"/>
        <v>4000</v>
      </c>
      <c r="Z43" s="13">
        <f t="shared" si="23"/>
        <v>0</v>
      </c>
      <c r="AA43" s="17">
        <f t="shared" si="14"/>
        <v>49475</v>
      </c>
      <c r="AB43" s="18">
        <f t="shared" si="12"/>
        <v>32675</v>
      </c>
      <c r="AC43" s="25">
        <f t="shared" si="7"/>
        <v>16800</v>
      </c>
      <c r="AD43" s="32">
        <f t="shared" si="9"/>
        <v>0.33956543708943909</v>
      </c>
    </row>
    <row r="44" spans="1:30">
      <c r="A44" s="50" t="s">
        <v>40</v>
      </c>
      <c r="B44" s="51"/>
      <c r="C44" s="7">
        <v>4000</v>
      </c>
      <c r="D44" s="4">
        <v>0</v>
      </c>
      <c r="E44" s="7">
        <v>4000</v>
      </c>
      <c r="F44" s="4">
        <v>3900</v>
      </c>
      <c r="G44" s="7">
        <v>4000</v>
      </c>
      <c r="H44" s="4">
        <v>3900</v>
      </c>
      <c r="I44" s="7">
        <v>4000</v>
      </c>
      <c r="J44" s="4">
        <v>3900</v>
      </c>
      <c r="K44" s="7">
        <v>4000</v>
      </c>
      <c r="L44" s="4">
        <v>3900</v>
      </c>
      <c r="M44" s="7">
        <v>4000</v>
      </c>
      <c r="N44" s="4">
        <v>3900</v>
      </c>
      <c r="O44" s="7">
        <v>4000</v>
      </c>
      <c r="P44" s="4">
        <v>3900</v>
      </c>
      <c r="Q44" s="7">
        <v>4000</v>
      </c>
      <c r="R44" s="4">
        <v>3900</v>
      </c>
      <c r="S44" s="7">
        <v>4000</v>
      </c>
      <c r="T44" s="4">
        <v>0</v>
      </c>
      <c r="U44" s="7">
        <v>4000</v>
      </c>
      <c r="V44" s="4">
        <v>0</v>
      </c>
      <c r="W44" s="7">
        <v>4000</v>
      </c>
      <c r="X44" s="4">
        <v>0</v>
      </c>
      <c r="Y44" s="7">
        <v>4000</v>
      </c>
      <c r="Z44" s="4">
        <v>0</v>
      </c>
      <c r="AA44" s="7">
        <f t="shared" si="14"/>
        <v>48000</v>
      </c>
      <c r="AB44" s="4">
        <f t="shared" si="12"/>
        <v>27300</v>
      </c>
      <c r="AC44" s="26">
        <f t="shared" si="7"/>
        <v>20700</v>
      </c>
      <c r="AD44" s="30"/>
    </row>
    <row r="45" spans="1:30" ht="15" customHeight="1" thickBot="1">
      <c r="A45" s="44" t="s">
        <v>41</v>
      </c>
      <c r="B45" s="45"/>
      <c r="C45" s="8">
        <v>1475</v>
      </c>
      <c r="D45" s="5">
        <v>1475</v>
      </c>
      <c r="E45" s="8">
        <v>0</v>
      </c>
      <c r="F45" s="4">
        <v>0</v>
      </c>
      <c r="G45" s="8">
        <v>0</v>
      </c>
      <c r="H45" s="4">
        <v>0</v>
      </c>
      <c r="I45" s="8">
        <v>0</v>
      </c>
      <c r="J45" s="4">
        <v>0</v>
      </c>
      <c r="K45" s="8">
        <v>0</v>
      </c>
      <c r="L45" s="4">
        <v>0</v>
      </c>
      <c r="M45" s="8">
        <v>0</v>
      </c>
      <c r="N45" s="4">
        <v>0</v>
      </c>
      <c r="O45" s="8">
        <v>0</v>
      </c>
      <c r="P45" s="4">
        <v>0</v>
      </c>
      <c r="Q45" s="8">
        <v>0</v>
      </c>
      <c r="R45" s="4">
        <v>0</v>
      </c>
      <c r="S45" s="8">
        <v>0</v>
      </c>
      <c r="T45" s="4">
        <v>0</v>
      </c>
      <c r="U45" s="8">
        <v>0</v>
      </c>
      <c r="V45" s="4">
        <v>0</v>
      </c>
      <c r="W45" s="8">
        <v>0</v>
      </c>
      <c r="X45" s="4">
        <v>0</v>
      </c>
      <c r="Y45" s="8">
        <v>0</v>
      </c>
      <c r="Z45" s="4">
        <v>0</v>
      </c>
      <c r="AA45" s="7">
        <f t="shared" si="14"/>
        <v>1475</v>
      </c>
      <c r="AB45" s="4">
        <f t="shared" si="12"/>
        <v>1475</v>
      </c>
      <c r="AC45" s="26">
        <f t="shared" si="7"/>
        <v>0</v>
      </c>
      <c r="AD45" s="36"/>
    </row>
    <row r="46" spans="1:30" ht="15.75" thickBot="1">
      <c r="A46" s="48" t="s">
        <v>42</v>
      </c>
      <c r="B46" s="49"/>
      <c r="C46" s="23">
        <f t="shared" ref="C46:Z46" si="24">SUM(C3,C14,C16,C22,C26,C30,C32,C34,C39,C41,C43)</f>
        <v>7717</v>
      </c>
      <c r="D46" s="24">
        <f t="shared" si="24"/>
        <v>2592</v>
      </c>
      <c r="E46" s="23">
        <f t="shared" si="24"/>
        <v>7747</v>
      </c>
      <c r="F46" s="24">
        <f t="shared" si="24"/>
        <v>5005</v>
      </c>
      <c r="G46" s="23">
        <f t="shared" si="24"/>
        <v>5197</v>
      </c>
      <c r="H46" s="24">
        <f t="shared" si="24"/>
        <v>7535</v>
      </c>
      <c r="I46" s="23">
        <f t="shared" si="24"/>
        <v>8957</v>
      </c>
      <c r="J46" s="24">
        <f t="shared" si="24"/>
        <v>6823.96</v>
      </c>
      <c r="K46" s="23">
        <f t="shared" si="24"/>
        <v>7932</v>
      </c>
      <c r="L46" s="24">
        <f t="shared" si="24"/>
        <v>9324</v>
      </c>
      <c r="M46" s="23">
        <f t="shared" si="24"/>
        <v>5197</v>
      </c>
      <c r="N46" s="24">
        <f t="shared" si="24"/>
        <v>6612</v>
      </c>
      <c r="O46" s="23">
        <f t="shared" si="24"/>
        <v>5377</v>
      </c>
      <c r="P46" s="24">
        <f t="shared" si="24"/>
        <v>6461.6100000000006</v>
      </c>
      <c r="Q46" s="23">
        <f t="shared" si="24"/>
        <v>7957</v>
      </c>
      <c r="R46" s="24">
        <f t="shared" si="24"/>
        <v>8791.18</v>
      </c>
      <c r="S46" s="23">
        <f t="shared" si="24"/>
        <v>11584</v>
      </c>
      <c r="T46" s="24">
        <f t="shared" si="24"/>
        <v>3295.37</v>
      </c>
      <c r="U46" s="23">
        <f t="shared" si="24"/>
        <v>5257</v>
      </c>
      <c r="V46" s="24">
        <f t="shared" si="24"/>
        <v>1731</v>
      </c>
      <c r="W46" s="23">
        <f t="shared" si="24"/>
        <v>7807</v>
      </c>
      <c r="X46" s="24">
        <f t="shared" si="24"/>
        <v>4281</v>
      </c>
      <c r="Y46" s="23">
        <f t="shared" si="24"/>
        <v>5257</v>
      </c>
      <c r="Z46" s="24">
        <f t="shared" si="24"/>
        <v>1731</v>
      </c>
      <c r="AA46" s="19">
        <f t="shared" si="14"/>
        <v>85986</v>
      </c>
      <c r="AB46" s="20">
        <f t="shared" si="12"/>
        <v>64183.12</v>
      </c>
      <c r="AC46" s="27">
        <f t="shared" si="7"/>
        <v>21802.879999999997</v>
      </c>
      <c r="AD46" s="35">
        <f t="shared" si="9"/>
        <v>0.25356313818528592</v>
      </c>
    </row>
    <row r="47" spans="1:30" ht="15.75" thickTop="1"/>
  </sheetData>
  <mergeCells count="46">
    <mergeCell ref="K1:L1"/>
    <mergeCell ref="AA1:AD1"/>
    <mergeCell ref="A1:B1"/>
    <mergeCell ref="C1:D1"/>
    <mergeCell ref="E1:F1"/>
    <mergeCell ref="G1:H1"/>
    <mergeCell ref="I1:J1"/>
    <mergeCell ref="Y1:Z1"/>
    <mergeCell ref="M1:N1"/>
    <mergeCell ref="O1:P1"/>
    <mergeCell ref="Q1:R1"/>
    <mergeCell ref="S1:T1"/>
    <mergeCell ref="U1:V1"/>
    <mergeCell ref="W1:X1"/>
    <mergeCell ref="AC2:AD2"/>
    <mergeCell ref="A4:B4"/>
    <mergeCell ref="A5:B5"/>
    <mergeCell ref="A6:B6"/>
    <mergeCell ref="A7:B7"/>
    <mergeCell ref="A23:B23"/>
    <mergeCell ref="A24:B24"/>
    <mergeCell ref="A8:B8"/>
    <mergeCell ref="A9:B9"/>
    <mergeCell ref="A10:B10"/>
    <mergeCell ref="A11:B11"/>
    <mergeCell ref="A12:B12"/>
    <mergeCell ref="A17:B17"/>
    <mergeCell ref="A18:B18"/>
    <mergeCell ref="A19:B19"/>
    <mergeCell ref="A21:B21"/>
    <mergeCell ref="A25:B25"/>
    <mergeCell ref="A15:B15"/>
    <mergeCell ref="A13:B13"/>
    <mergeCell ref="A46:B46"/>
    <mergeCell ref="A44:B44"/>
    <mergeCell ref="A45:B45"/>
    <mergeCell ref="A42:B42"/>
    <mergeCell ref="A40:B40"/>
    <mergeCell ref="A35:B35"/>
    <mergeCell ref="A36:B36"/>
    <mergeCell ref="A38:B38"/>
    <mergeCell ref="A33:B33"/>
    <mergeCell ref="A31:B31"/>
    <mergeCell ref="A27:B27"/>
    <mergeCell ref="A28:B28"/>
    <mergeCell ref="A29:B29"/>
  </mergeCells>
  <conditionalFormatting sqref="AD3 AD14 AD16 AD22 AD26 AD30 AD32 AD34 AD39 AD41 AD43 AD46">
    <cfRule type="cellIs" dxfId="5" priority="1" operator="between">
      <formula>0.8334</formula>
      <formula>1.5</formula>
    </cfRule>
    <cfRule type="cellIs" dxfId="4" priority="2" operator="between">
      <formula>0.6667</formula>
      <formula>0.8333</formula>
    </cfRule>
    <cfRule type="cellIs" dxfId="3" priority="3" operator="between">
      <formula>0.5001</formula>
      <formula>0.6666</formula>
    </cfRule>
    <cfRule type="cellIs" dxfId="2" priority="4" operator="between">
      <formula>0.3334</formula>
      <formula>0.5</formula>
    </cfRule>
    <cfRule type="cellIs" dxfId="1" priority="5" operator="between">
      <formula>0.1667</formula>
      <formula>0.3333</formula>
    </cfRule>
    <cfRule type="cellIs" dxfId="0" priority="6" operator="between">
      <formula>-1</formula>
      <formula>0.1666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Winegarden</dc:creator>
  <cp:keywords/>
  <dc:description/>
  <cp:lastModifiedBy>Spencer Winegarden</cp:lastModifiedBy>
  <cp:revision/>
  <dcterms:created xsi:type="dcterms:W3CDTF">2025-07-15T14:53:19Z</dcterms:created>
  <dcterms:modified xsi:type="dcterms:W3CDTF">2025-09-11T20:38:04Z</dcterms:modified>
  <cp:category/>
  <cp:contentStatus/>
</cp:coreProperties>
</file>